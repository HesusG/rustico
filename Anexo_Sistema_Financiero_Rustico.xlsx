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gistro de Ventas" sheetId="2" state="visible" r:id="rId2"/>
    <sheet xmlns:r="http://schemas.openxmlformats.org/officeDocument/2006/relationships" name="Corte de Caja" sheetId="3" state="visible" r:id="rId3"/>
    <sheet xmlns:r="http://schemas.openxmlformats.org/officeDocument/2006/relationships" name="Catálogo Productos" sheetId="4" state="visible" r:id="rId4"/>
    <sheet xmlns:r="http://schemas.openxmlformats.org/officeDocument/2006/relationships" name="Recetas (BOM)" sheetId="5" state="visible" r:id="rId5"/>
    <sheet xmlns:r="http://schemas.openxmlformats.org/officeDocument/2006/relationships" name="Inventario" sheetId="6" state="visible" r:id="rId6"/>
    <sheet xmlns:r="http://schemas.openxmlformats.org/officeDocument/2006/relationships" name="Gastos" sheetId="7" state="visible" r:id="rId7"/>
    <sheet xmlns:r="http://schemas.openxmlformats.org/officeDocument/2006/relationships" name="Flujo de Caja" sheetId="8" state="visible" r:id="rId8"/>
    <sheet xmlns:r="http://schemas.openxmlformats.org/officeDocument/2006/relationships" name="Conciliación Bancaria" sheetId="9" state="visible" r:id="rId9"/>
    <sheet xmlns:r="http://schemas.openxmlformats.org/officeDocument/2006/relationships" name="Nómina" sheetId="10" state="visible" r:id="rId10"/>
    <sheet xmlns:r="http://schemas.openxmlformats.org/officeDocument/2006/relationships" name="Dashboard" sheetId="11" state="visible" r:id="rId11"/>
  </sheets>
  <definedNames/>
  <calcPr calcId="124519" fullCalcOnLoad="1"/>
</workbook>
</file>

<file path=xl/styles.xml><?xml version="1.0" encoding="utf-8"?>
<styleSheet xmlns="http://schemas.openxmlformats.org/spreadsheetml/2006/main">
  <numFmts count="4">
    <numFmt numFmtId="164" formatCode="yyyy-mm-dd"/>
    <numFmt numFmtId="165" formatCode="$#,##0.00"/>
    <numFmt numFmtId="166" formatCode="0.0%"/>
    <numFmt numFmtId="167" formatCode="$#,##0"/>
  </numFmts>
  <fonts count="15">
    <font>
      <name val="Calibri"/>
      <family val="2"/>
      <color theme="1"/>
      <sz val="11"/>
      <scheme val="minor"/>
    </font>
    <font>
      <name val="Arial"/>
      <b val="1"/>
      <color rgb="002F5496"/>
      <sz val="18"/>
    </font>
    <font>
      <name val="Arial"/>
      <color rgb="002F5496"/>
      <sz val="14"/>
    </font>
    <font>
      <name val="Arial"/>
      <sz val="11"/>
    </font>
    <font>
      <name val="Arial"/>
      <b val="1"/>
      <color rgb="00FFFFFF"/>
      <sz val="11"/>
    </font>
    <font>
      <name val="Arial"/>
      <b val="1"/>
      <color rgb="002F5496"/>
      <sz val="10"/>
    </font>
    <font>
      <name val="Arial"/>
      <sz val="10"/>
    </font>
    <font>
      <name val="Arial"/>
      <color rgb="00C00000"/>
      <sz val="9"/>
    </font>
    <font>
      <name val="Arial"/>
      <b val="1"/>
      <color rgb="002F5496"/>
      <sz val="14"/>
    </font>
    <font>
      <name val="Arial"/>
      <i val="1"/>
      <color rgb="00808080"/>
      <sz val="9"/>
    </font>
    <font>
      <name val="Arial"/>
      <b val="1"/>
      <sz val="10"/>
    </font>
    <font>
      <name val="Arial"/>
      <b val="1"/>
      <color rgb="002F5496"/>
      <sz val="11"/>
    </font>
    <font>
      <name val="Arial"/>
      <b val="1"/>
      <sz val="11"/>
    </font>
    <font>
      <name val="Arial"/>
      <b val="1"/>
      <color rgb="00C00000"/>
      <sz val="11"/>
    </font>
    <font>
      <name val="Arial"/>
      <b val="1"/>
      <color rgb="00C00000"/>
      <sz val="10"/>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E2EFDA"/>
        <bgColor rgb="00E2EFDA"/>
      </patternFill>
    </fill>
    <fill>
      <patternFill patternType="solid">
        <fgColor rgb="00FCE4EC"/>
        <bgColor rgb="00FCE4EC"/>
      </patternFill>
    </fill>
  </fills>
  <borders count="2">
    <border>
      <left/>
      <right/>
      <top/>
      <bottom/>
      <diagonal/>
    </border>
    <border>
      <left style="thin"/>
      <right style="thin"/>
      <top style="thin"/>
      <bottom style="thin"/>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0" pivotButton="0" quotePrefix="0" xfId="0"/>
    <xf numFmtId="0" fontId="9" fillId="0" borderId="0" pivotButton="0" quotePrefix="0" xfId="0"/>
    <xf numFmtId="164" fontId="6" fillId="0" borderId="1" applyAlignment="1" pivotButton="0" quotePrefix="0" xfId="0">
      <alignment horizontal="center" vertical="center"/>
    </xf>
    <xf numFmtId="0" fontId="6" fillId="0" borderId="1" applyAlignment="1" pivotButton="0" quotePrefix="0" xfId="0">
      <alignment horizontal="center" vertical="center"/>
    </xf>
    <xf numFmtId="165" fontId="6" fillId="0" borderId="1" applyAlignment="1" pivotButton="0" quotePrefix="0" xfId="0">
      <alignment horizontal="left" vertical="center" wrapText="1"/>
    </xf>
    <xf numFmtId="165" fontId="6" fillId="4" borderId="1" applyAlignment="1" pivotButton="0" quotePrefix="0" xfId="0">
      <alignment horizontal="left" vertical="center" wrapText="1"/>
    </xf>
    <xf numFmtId="0" fontId="10" fillId="0" borderId="0" pivotButton="0" quotePrefix="0" xfId="0"/>
    <xf numFmtId="165" fontId="10" fillId="4" borderId="0" pivotButton="0" quotePrefix="0" xfId="0"/>
    <xf numFmtId="0" fontId="11" fillId="0" borderId="0" pivotButton="0" quotePrefix="0" xfId="0"/>
    <xf numFmtId="165" fontId="0" fillId="0" borderId="0" pivotButton="0" quotePrefix="0" xfId="0"/>
    <xf numFmtId="0" fontId="12" fillId="0" borderId="0" pivotButton="0" quotePrefix="0" xfId="0"/>
    <xf numFmtId="165" fontId="0" fillId="4" borderId="0" pivotButton="0" quotePrefix="0" xfId="0"/>
    <xf numFmtId="0" fontId="13" fillId="0" borderId="0" pivotButton="0" quotePrefix="0" xfId="0"/>
    <xf numFmtId="165" fontId="0" fillId="5" borderId="0" pivotButton="0" quotePrefix="0" xfId="0"/>
    <xf numFmtId="165" fontId="6" fillId="0" borderId="1" applyAlignment="1" pivotButton="0" quotePrefix="0" xfId="0">
      <alignment horizontal="center" vertical="center"/>
    </xf>
    <xf numFmtId="0" fontId="6" fillId="0" borderId="0" pivotButton="0" quotePrefix="0" xfId="0"/>
    <xf numFmtId="0" fontId="14" fillId="0" borderId="0" pivotButton="0" quotePrefix="0" xfId="0"/>
    <xf numFmtId="0" fontId="0" fillId="4" borderId="0" pivotButton="0" quotePrefix="0" xfId="0"/>
    <xf numFmtId="166" fontId="6" fillId="4" borderId="1" applyAlignment="1" pivotButton="0" quotePrefix="0" xfId="0">
      <alignment horizontal="left" vertical="center" wrapText="1"/>
    </xf>
    <xf numFmtId="164" fontId="6" fillId="0" borderId="1" applyAlignment="1" pivotButton="0" quotePrefix="0" xfId="0">
      <alignment horizontal="left" vertical="center" wrapText="1"/>
    </xf>
    <xf numFmtId="0" fontId="6" fillId="4" borderId="1" applyAlignment="1" pivotButton="0" quotePrefix="0" xfId="0">
      <alignment horizontal="left" vertical="center" wrapText="1"/>
    </xf>
    <xf numFmtId="167" fontId="0" fillId="0" borderId="1" pivotButton="0" quotePrefix="0" xfId="0"/>
    <xf numFmtId="167" fontId="0" fillId="4" borderId="1" pivotButton="0" quotePrefix="0" xfId="0"/>
    <xf numFmtId="165" fontId="6" fillId="4" borderId="1" applyAlignment="1" pivotButton="0" quotePrefix="0" xfId="0">
      <alignment horizontal="center"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B2:E18"/>
  <sheetViews>
    <sheetView workbookViewId="0">
      <selection activeCell="A1" sqref="A1"/>
    </sheetView>
  </sheetViews>
  <sheetFormatPr baseColWidth="8" defaultRowHeight="15"/>
  <cols>
    <col width="3" customWidth="1" min="1" max="1"/>
    <col width="32" customWidth="1" min="2" max="2"/>
    <col width="22" customWidth="1" min="3" max="3"/>
    <col width="50" customWidth="1" min="4" max="4"/>
    <col width="48" customWidth="1" min="5" max="5"/>
  </cols>
  <sheetData>
    <row r="2">
      <c r="B2" s="1" t="inlineStr">
        <is>
          <t>SISTEMA DE GESTIÓN FINANCIERA MODULAR</t>
        </is>
      </c>
    </row>
    <row r="3">
      <c r="B3" s="2" t="inlineStr">
        <is>
          <t>RÚSTICO PIZZA Y PAN</t>
        </is>
      </c>
    </row>
    <row r="5">
      <c r="B5" s="3" t="inlineStr">
        <is>
          <t>Este archivo contiene las plantillas operativas de los 5 módulos del sistema.</t>
        </is>
      </c>
    </row>
    <row r="6">
      <c r="B6" s="3" t="inlineStr">
        <is>
          <t>Cada pestaña corresponde a un componente. Las celdas verdes contienen fórmulas automáticas.</t>
        </is>
      </c>
    </row>
    <row r="8">
      <c r="B8" s="4" t="inlineStr">
        <is>
          <t>Módulo</t>
        </is>
      </c>
      <c r="C8" s="4" t="inlineStr">
        <is>
          <t>Pestaña</t>
        </is>
      </c>
      <c r="D8" s="4" t="inlineStr">
        <is>
          <t>Función</t>
        </is>
      </c>
      <c r="E8" s="4" t="inlineStr">
        <is>
          <t>Brecha que resuelve</t>
        </is>
      </c>
    </row>
    <row r="9">
      <c r="B9" s="5" t="inlineStr">
        <is>
          <t>MÓDULO 1: PUNTO DE VENTA</t>
        </is>
      </c>
      <c r="C9" s="6" t="inlineStr">
        <is>
          <t>Registro de Ventas</t>
        </is>
      </c>
      <c r="D9" s="6" t="inlineStr">
        <is>
          <t>Captura cada transacción con producto, cantidad, método de pago y canal</t>
        </is>
      </c>
      <c r="E9" s="7" t="inlineStr">
        <is>
          <t>H1: 8 días sin registro, ventas sin desglose por producto</t>
        </is>
      </c>
    </row>
    <row r="10">
      <c r="B10" s="6" t="inlineStr"/>
      <c r="C10" s="6" t="inlineStr">
        <is>
          <t>Corte de Caja</t>
        </is>
      </c>
      <c r="D10" s="6" t="inlineStr">
        <is>
          <t>Cierre diario con conciliación efectivo vs. tarjeta</t>
        </is>
      </c>
      <c r="E10" s="7" t="inlineStr">
        <is>
          <t>H1: 33.8% de cortes con discrepancias</t>
        </is>
      </c>
    </row>
    <row r="11">
      <c r="B11" s="5" t="inlineStr">
        <is>
          <t>MÓDULO 2: COSTOS E INVENTARIO</t>
        </is>
      </c>
      <c r="C11" s="6" t="inlineStr">
        <is>
          <t>Catálogo Productos</t>
        </is>
      </c>
      <c r="D11" s="6" t="inlineStr">
        <is>
          <t>Precio de venta, costo directo e indirecto, margen por producto</t>
        </is>
      </c>
      <c r="E11" s="7" t="inlineStr">
        <is>
          <t>H3: Tabla de costos sin actualizar 8+ meses</t>
        </is>
      </c>
    </row>
    <row r="12">
      <c r="B12" s="6" t="inlineStr"/>
      <c r="C12" s="6" t="inlineStr">
        <is>
          <t>Recetas (BOM)</t>
        </is>
      </c>
      <c r="D12" s="6" t="inlineStr">
        <is>
          <t>Cantidad de cada insumo por producto (Bill of Materials)</t>
        </is>
      </c>
      <c r="E12" s="7" t="inlineStr">
        <is>
          <t>H3: Costos indirectos nunca calculados</t>
        </is>
      </c>
    </row>
    <row r="13">
      <c r="B13" s="6" t="inlineStr"/>
      <c r="C13" s="6" t="inlineStr">
        <is>
          <t>Inventario</t>
        </is>
      </c>
      <c r="D13" s="6" t="inlineStr">
        <is>
          <t>Stock actual, mínimos, movimientos de entrada/salida/merma</t>
        </is>
      </c>
      <c r="E13" s="7" t="inlineStr">
        <is>
          <t>H7: Sin control de inventario, desabastos</t>
        </is>
      </c>
    </row>
    <row r="14">
      <c r="B14" s="5" t="inlineStr">
        <is>
          <t>MÓDULO 3: FLUJO DE CAJA</t>
        </is>
      </c>
      <c r="C14" s="6" t="inlineStr">
        <is>
          <t>Gastos</t>
        </is>
      </c>
      <c r="D14" s="6" t="inlineStr">
        <is>
          <t>Registro categorizado de todos los egresos</t>
        </is>
      </c>
      <c r="E14" s="7" t="inlineStr">
        <is>
          <t>H2: 12.6% de gastos no registrados, sin categorías</t>
        </is>
      </c>
    </row>
    <row r="15">
      <c r="B15" s="6" t="inlineStr"/>
      <c r="C15" s="6" t="inlineStr">
        <is>
          <t>Flujo de Caja</t>
        </is>
      </c>
      <c r="D15" s="6" t="inlineStr">
        <is>
          <t>Ingresos vs. egresos diarios con saldo acumulado</t>
        </is>
      </c>
      <c r="E15" s="7" t="inlineStr">
        <is>
          <t>H4: Finanzas personales mezcladas con negocio</t>
        </is>
      </c>
    </row>
    <row r="16">
      <c r="B16" s="6" t="inlineStr"/>
      <c r="C16" s="6" t="inlineStr">
        <is>
          <t>Conciliación Bancaria</t>
        </is>
      </c>
      <c r="D16" s="6" t="inlineStr">
        <is>
          <t>Cruce terminal tarjeta vs. depósitos bancarios</t>
        </is>
      </c>
      <c r="E16" s="7" t="inlineStr">
        <is>
          <t>H4: $2,370 en discrepancias no investigadas</t>
        </is>
      </c>
    </row>
    <row r="17">
      <c r="B17" s="5" t="inlineStr">
        <is>
          <t>MÓDULO 4: NÓMINA</t>
        </is>
      </c>
      <c r="C17" s="6" t="inlineStr">
        <is>
          <t>Nómina</t>
        </is>
      </c>
      <c r="D17" s="6" t="inlineStr">
        <is>
          <t>Registro quincenal con folio, periodo y firma</t>
        </is>
      </c>
      <c r="E17" s="7" t="inlineStr">
        <is>
          <t>H5: Solo 9 de 12 recibos encontrados</t>
        </is>
      </c>
    </row>
    <row r="18">
      <c r="B18" s="5" t="inlineStr">
        <is>
          <t>MÓDULO 5: REPORTES</t>
        </is>
      </c>
      <c r="C18" s="6" t="inlineStr">
        <is>
          <t>Dashboard</t>
        </is>
      </c>
      <c r="D18" s="6" t="inlineStr">
        <is>
          <t>Indicadores mensuales: margen, punto de equilibrio, ticket</t>
        </is>
      </c>
      <c r="E18" s="7" t="inlineStr">
        <is>
          <t>H6: Cero reportes financieros generados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L503"/>
  <sheetViews>
    <sheetView workbookViewId="0">
      <selection activeCell="A1" sqref="A1"/>
    </sheetView>
  </sheetViews>
  <sheetFormatPr baseColWidth="8" defaultRowHeight="15"/>
  <cols>
    <col width="12" customWidth="1" min="1" max="1"/>
    <col width="8" customWidth="1" min="2" max="2"/>
    <col width="8" customWidth="1" min="3" max="3"/>
    <col width="22" customWidth="1" min="4" max="4"/>
    <col width="16" customWidth="1" min="5" max="5"/>
    <col width="10" customWidth="1" min="6" max="6"/>
    <col width="13" customWidth="1" min="7" max="7"/>
    <col width="13" customWidth="1" min="8" max="8"/>
    <col width="14" customWidth="1" min="9" max="9"/>
    <col width="20" customWidth="1" min="10" max="10"/>
    <col width="15" customWidth="1" min="11" max="11"/>
    <col width="20" customWidth="1" min="12" max="12"/>
  </cols>
  <sheetData>
    <row r="1">
      <c r="A1" s="8" t="inlineStr">
        <is>
          <t>Módulo 1: Registro de Ventas</t>
        </is>
      </c>
    </row>
    <row r="2">
      <c r="A2" s="9" t="inlineStr">
        <is>
          <t>Registrar CADA transacción. No reconstruir de memoria. Sofía es responsable de la captura durante el turno.</t>
        </is>
      </c>
    </row>
    <row r="4">
      <c r="A4" s="4" t="inlineStr">
        <is>
          <t>Fecha</t>
        </is>
      </c>
      <c r="B4" s="4" t="inlineStr">
        <is>
          <t>Hora</t>
        </is>
      </c>
      <c r="C4" s="4" t="inlineStr">
        <is>
          <t>Folio</t>
        </is>
      </c>
      <c r="D4" s="4" t="inlineStr">
        <is>
          <t>Producto</t>
        </is>
      </c>
      <c r="E4" s="4" t="inlineStr">
        <is>
          <t>Categoría</t>
        </is>
      </c>
      <c r="F4" s="4" t="inlineStr">
        <is>
          <t>Cantidad</t>
        </is>
      </c>
      <c r="G4" s="4" t="inlineStr">
        <is>
          <t>Precio Unit.</t>
        </is>
      </c>
      <c r="H4" s="4" t="inlineStr">
        <is>
          <t>Subtotal</t>
        </is>
      </c>
      <c r="I4" s="4" t="inlineStr">
        <is>
          <t>Método de Pago</t>
        </is>
      </c>
      <c r="J4" s="4" t="inlineStr">
        <is>
          <t>Canal</t>
        </is>
      </c>
      <c r="K4" s="4" t="inlineStr">
        <is>
          <t>Cliente</t>
        </is>
      </c>
      <c r="L4" s="4" t="inlineStr">
        <is>
          <t>Notas</t>
        </is>
      </c>
    </row>
    <row r="5">
      <c r="A5" s="10" t="n">
        <v>46097</v>
      </c>
      <c r="B5" s="11" t="inlineStr">
        <is>
          <t>13:15</t>
        </is>
      </c>
      <c r="C5" s="11" t="inlineStr">
        <is>
          <t>V-001</t>
        </is>
      </c>
      <c r="D5" s="6" t="inlineStr">
        <is>
          <t>Pizza Pepperoni</t>
        </is>
      </c>
      <c r="E5" s="6" t="inlineStr">
        <is>
          <t>Pizza</t>
        </is>
      </c>
      <c r="F5" s="6" t="n">
        <v>1</v>
      </c>
      <c r="G5" s="12" t="n">
        <v>160</v>
      </c>
      <c r="H5" s="13">
        <f>F5*G5</f>
        <v/>
      </c>
      <c r="I5" s="6" t="inlineStr">
        <is>
          <t>Efectivo</t>
        </is>
      </c>
      <c r="J5" s="6" t="inlineStr">
        <is>
          <t>Mostrador</t>
        </is>
      </c>
      <c r="K5" s="6" t="inlineStr"/>
      <c r="L5" s="6" t="inlineStr"/>
    </row>
    <row r="6">
      <c r="A6" s="10" t="n">
        <v>46097</v>
      </c>
      <c r="B6" s="11" t="inlineStr">
        <is>
          <t>13:15</t>
        </is>
      </c>
      <c r="C6" s="11" t="inlineStr">
        <is>
          <t>V-001</t>
        </is>
      </c>
      <c r="D6" s="6" t="inlineStr">
        <is>
          <t>Agua de Jamaica</t>
        </is>
      </c>
      <c r="E6" s="6" t="inlineStr">
        <is>
          <t>Bebida</t>
        </is>
      </c>
      <c r="F6" s="6" t="n">
        <v>2</v>
      </c>
      <c r="G6" s="12" t="n">
        <v>35</v>
      </c>
      <c r="H6" s="13">
        <f>F6*G6</f>
        <v/>
      </c>
      <c r="I6" s="6" t="inlineStr">
        <is>
          <t>Efectivo</t>
        </is>
      </c>
      <c r="J6" s="6" t="inlineStr">
        <is>
          <t>Mostrador</t>
        </is>
      </c>
      <c r="K6" s="6" t="inlineStr"/>
      <c r="L6" s="6" t="inlineStr">
        <is>
          <t>Misma orden</t>
        </is>
      </c>
    </row>
    <row r="7">
      <c r="A7" s="10" t="n">
        <v>46097</v>
      </c>
      <c r="B7" s="11" t="inlineStr">
        <is>
          <t>13:30</t>
        </is>
      </c>
      <c r="C7" s="11" t="inlineStr">
        <is>
          <t>V-002</t>
        </is>
      </c>
      <c r="D7" s="6" t="inlineStr">
        <is>
          <t>Pizza Hawaiana</t>
        </is>
      </c>
      <c r="E7" s="6" t="inlineStr">
        <is>
          <t>Pizza</t>
        </is>
      </c>
      <c r="F7" s="6" t="n">
        <v>1</v>
      </c>
      <c r="G7" s="12" t="n">
        <v>170</v>
      </c>
      <c r="H7" s="13">
        <f>F7*G7</f>
        <v/>
      </c>
      <c r="I7" s="6" t="inlineStr">
        <is>
          <t>Tarjeta</t>
        </is>
      </c>
      <c r="J7" s="6" t="inlineStr">
        <is>
          <t>Mostrador</t>
        </is>
      </c>
      <c r="K7" s="6" t="inlineStr"/>
      <c r="L7" s="6" t="inlineStr"/>
    </row>
    <row r="8">
      <c r="A8" s="10" t="n">
        <v>46097</v>
      </c>
      <c r="B8" s="11" t="inlineStr">
        <is>
          <t>13:45</t>
        </is>
      </c>
      <c r="C8" s="11" t="inlineStr">
        <is>
          <t>V-003</t>
        </is>
      </c>
      <c r="D8" s="6" t="inlineStr">
        <is>
          <t>Pizza Margarita</t>
        </is>
      </c>
      <c r="E8" s="6" t="inlineStr">
        <is>
          <t>Pizza</t>
        </is>
      </c>
      <c r="F8" s="6" t="n">
        <v>2</v>
      </c>
      <c r="G8" s="12" t="n">
        <v>130</v>
      </c>
      <c r="H8" s="13">
        <f>F8*G8</f>
        <v/>
      </c>
      <c r="I8" s="6" t="inlineStr">
        <is>
          <t>Tarjeta</t>
        </is>
      </c>
      <c r="J8" s="6" t="inlineStr">
        <is>
          <t>Teléfono/WhatsApp</t>
        </is>
      </c>
      <c r="K8" s="6" t="inlineStr">
        <is>
          <t>Fam. López</t>
        </is>
      </c>
      <c r="L8" s="6" t="inlineStr">
        <is>
          <t>Pedido anticipado</t>
        </is>
      </c>
    </row>
    <row r="9">
      <c r="A9" s="10" t="n">
        <v>46097</v>
      </c>
      <c r="B9" s="11" t="inlineStr">
        <is>
          <t>14:00</t>
        </is>
      </c>
      <c r="C9" s="11" t="inlineStr">
        <is>
          <t>V-004</t>
        </is>
      </c>
      <c r="D9" s="6" t="inlineStr">
        <is>
          <t>Concha</t>
        </is>
      </c>
      <c r="E9" s="6" t="inlineStr">
        <is>
          <t>Pan/Repostería</t>
        </is>
      </c>
      <c r="F9" s="6" t="n">
        <v>6</v>
      </c>
      <c r="G9" s="12" t="n">
        <v>25</v>
      </c>
      <c r="H9" s="13">
        <f>F9*G9</f>
        <v/>
      </c>
      <c r="I9" s="6" t="inlineStr">
        <is>
          <t>Efectivo</t>
        </is>
      </c>
      <c r="J9" s="6" t="inlineStr">
        <is>
          <t>Mostrador</t>
        </is>
      </c>
      <c r="K9" s="6" t="inlineStr"/>
      <c r="L9" s="6" t="inlineStr"/>
    </row>
    <row r="10">
      <c r="A10" s="10" t="n">
        <v>46097</v>
      </c>
      <c r="B10" s="11" t="inlineStr">
        <is>
          <t>14:20</t>
        </is>
      </c>
      <c r="C10" s="11" t="inlineStr">
        <is>
          <t>V-005</t>
        </is>
      </c>
      <c r="D10" s="6" t="inlineStr">
        <is>
          <t>Pizza Pastor</t>
        </is>
      </c>
      <c r="E10" s="6" t="inlineStr">
        <is>
          <t>Pizza</t>
        </is>
      </c>
      <c r="F10" s="6" t="n">
        <v>1</v>
      </c>
      <c r="G10" s="12" t="n">
        <v>175</v>
      </c>
      <c r="H10" s="13">
        <f>F10*G10</f>
        <v/>
      </c>
      <c r="I10" s="6" t="inlineStr">
        <is>
          <t>Efectivo</t>
        </is>
      </c>
      <c r="J10" s="6" t="inlineStr">
        <is>
          <t>Para llevar</t>
        </is>
      </c>
      <c r="K10" s="6" t="inlineStr"/>
      <c r="L10" s="6" t="inlineStr"/>
    </row>
    <row r="11">
      <c r="F11" s="14" t="inlineStr">
        <is>
          <t>TOTAL DÍA:</t>
        </is>
      </c>
      <c r="H11" s="15">
        <f>SUM(H5:H10)</f>
        <v/>
      </c>
    </row>
    <row r="12"/>
    <row r="13">
      <c r="A13" s="16" t="inlineStr">
        <is>
          <t>INSTRUCCIONES:</t>
        </is>
      </c>
    </row>
    <row r="14">
      <c r="A14" s="9" t="inlineStr">
        <is>
          <t>1. Registrar la venta EN EL MOMENTO, no al final del día.</t>
        </is>
      </c>
    </row>
    <row r="15">
      <c r="A15" s="9" t="inlineStr">
        <is>
          <t>2. El Folio es consecutivo por día (V-001, V-002...). Reinicia cada día.</t>
        </is>
      </c>
    </row>
    <row r="16">
      <c r="A16" s="9" t="inlineStr">
        <is>
          <t>3. Si una orden tiene varios productos, usar el mismo Folio con una fila por producto.</t>
        </is>
      </c>
    </row>
    <row r="17">
      <c r="A17" s="9" t="inlineStr">
        <is>
          <t>4. Subtotal se calcula automáticamente (celda verde). NO escribir encima.</t>
        </is>
      </c>
    </row>
    <row r="18">
      <c r="A18" s="9" t="inlineStr">
        <is>
          <t>5. NUNCA dejar un día sin registros. Si no hubo ventas, anotar "Sin ventas" en Notas.</t>
        </is>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sheetData>
  <dataValidations count="3">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showDropDown="0" showInputMessage="0" showErrorMessage="0" allowBlank="0" error="Selecciona una categoría válida" prompt="Categoría del producto" type="list">
      <formula1>"Pizza,Pan/Repostería,Bebida,Otro"</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showDropDown="0" showInputMessage="0" showErrorMessage="0" allowBlank="0" type="list">
      <formula1>"Efectivo,Tarjeta,Transferencia"</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showDropDown="0" showInputMessage="0" showErrorMessage="0" allowBlank="0" type="list">
      <formula1>"Mostrador,Para llevar,Teléfono/WhatsApp,Plataforma delivery,Evento"</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D33"/>
  <sheetViews>
    <sheetView workbookViewId="0">
      <selection activeCell="A1" sqref="A1"/>
    </sheetView>
  </sheetViews>
  <sheetFormatPr baseColWidth="8" defaultRowHeight="15"/>
  <cols>
    <col width="35" customWidth="1" min="1" max="1"/>
    <col width="18" customWidth="1" min="2" max="2"/>
    <col width="18" customWidth="1" min="3" max="3"/>
    <col width="20" customWidth="1" min="4" max="4"/>
  </cols>
  <sheetData>
    <row r="1">
      <c r="A1" s="8" t="inlineStr">
        <is>
          <t>Módulo 1: Corte de Caja Diario</t>
        </is>
      </c>
    </row>
    <row r="2">
      <c r="A2" s="9" t="inlineStr">
        <is>
          <t>Realizar TODOS los días al cierre. Fondo inicial estandarizado: $2,000. Responsable: Sofía + Martín.</t>
        </is>
      </c>
    </row>
    <row r="4">
      <c r="A4" s="16" t="inlineStr">
        <is>
          <t>SECCIÓN A: RESUMEN DEL DÍA</t>
        </is>
      </c>
    </row>
    <row r="5">
      <c r="A5" s="3" t="inlineStr">
        <is>
          <t>Fecha:</t>
        </is>
      </c>
    </row>
    <row r="6">
      <c r="A6" s="3" t="inlineStr">
        <is>
          <t>Responsable del cierre:</t>
        </is>
      </c>
    </row>
    <row r="7">
      <c r="A7" s="3" t="inlineStr"/>
    </row>
    <row r="8">
      <c r="A8" s="3" t="inlineStr">
        <is>
          <t>Fondo de caja inicial:</t>
        </is>
      </c>
      <c r="B8" s="17" t="n">
        <v>2000</v>
      </c>
    </row>
    <row r="9">
      <c r="A9" s="3" t="inlineStr"/>
    </row>
    <row r="10">
      <c r="A10" s="3" t="inlineStr">
        <is>
          <t>Ventas en efectivo:</t>
        </is>
      </c>
    </row>
    <row r="11">
      <c r="A11" s="3" t="inlineStr">
        <is>
          <t>Ventas con tarjeta:</t>
        </is>
      </c>
    </row>
    <row r="12">
      <c r="A12" s="3" t="inlineStr">
        <is>
          <t>Ventas por transferencia:</t>
        </is>
      </c>
    </row>
    <row r="13">
      <c r="A13" s="18" t="inlineStr">
        <is>
          <t>Total ventas del día:</t>
        </is>
      </c>
      <c r="B13" s="19">
        <f>B10+B11+B12</f>
        <v/>
      </c>
    </row>
    <row r="14">
      <c r="A14" s="3" t="inlineStr"/>
    </row>
    <row r="15">
      <c r="A15" s="3" t="inlineStr">
        <is>
          <t>Salidas de caja (ver Sección B):</t>
        </is>
      </c>
      <c r="B15" s="19">
        <f>B26</f>
        <v/>
      </c>
    </row>
    <row r="16">
      <c r="A16" s="3" t="inlineStr"/>
    </row>
    <row r="17">
      <c r="A17" s="18" t="inlineStr">
        <is>
          <t>Efectivo esperado en caja:</t>
        </is>
      </c>
      <c r="B17" s="19">
        <f>B8+B10-B15</f>
        <v/>
      </c>
    </row>
    <row r="18">
      <c r="A18" s="3" t="inlineStr">
        <is>
          <t>Efectivo real contado:</t>
        </is>
      </c>
    </row>
    <row r="19">
      <c r="A19" s="20" t="inlineStr">
        <is>
          <t>DIFERENCIA:</t>
        </is>
      </c>
      <c r="B19" s="21">
        <f>B18-B17</f>
        <v/>
      </c>
    </row>
    <row r="21">
      <c r="A21" s="16" t="inlineStr">
        <is>
          <t>SECCIÓN B: SALIDAS DE CAJA</t>
        </is>
      </c>
    </row>
    <row r="22">
      <c r="A22" s="4" t="inlineStr">
        <is>
          <t>Concepto</t>
        </is>
      </c>
      <c r="B22" s="4" t="inlineStr">
        <is>
          <t>Monto</t>
        </is>
      </c>
      <c r="C22" s="4" t="inlineStr">
        <is>
          <t>Autorizado por</t>
        </is>
      </c>
      <c r="D22" s="4" t="inlineStr">
        <is>
          <t>Destino</t>
        </is>
      </c>
    </row>
    <row r="23">
      <c r="A23" s="11" t="inlineStr">
        <is>
          <t>Pago Luis Ángel (quincena)</t>
        </is>
      </c>
      <c r="B23" s="22" t="n">
        <v>3750</v>
      </c>
      <c r="C23" s="11" t="inlineStr">
        <is>
          <t>Martín</t>
        </is>
      </c>
      <c r="D23" s="6" t="inlineStr">
        <is>
          <t>Nómina</t>
        </is>
      </c>
    </row>
    <row r="24">
      <c r="A24" s="11" t="inlineStr">
        <is>
          <t>Compra urgente queso</t>
        </is>
      </c>
      <c r="B24" s="22" t="n">
        <v>650</v>
      </c>
      <c r="C24" s="11" t="inlineStr">
        <is>
          <t>Martín</t>
        </is>
      </c>
      <c r="D24" s="6" t="inlineStr">
        <is>
          <t>Materia prima</t>
        </is>
      </c>
    </row>
    <row r="26">
      <c r="A26" s="14" t="inlineStr">
        <is>
          <t>Total salidas:</t>
        </is>
      </c>
      <c r="B26" s="19">
        <f>SUM(B23:B25)</f>
        <v/>
      </c>
    </row>
    <row r="28">
      <c r="A28" s="16" t="inlineStr">
        <is>
          <t>SECCIÓN C: VERIFICACIÓN TARJETA</t>
        </is>
      </c>
    </row>
    <row r="29">
      <c r="A29" s="23" t="inlineStr">
        <is>
          <t>Número de vouchers de tarjeta:</t>
        </is>
      </c>
    </row>
    <row r="30">
      <c r="A30" s="23" t="inlineStr">
        <is>
          <t>Suma de vouchers de tarjeta:</t>
        </is>
      </c>
      <c r="B30" s="17" t="n"/>
    </row>
    <row r="31">
      <c r="A31" s="24" t="inlineStr">
        <is>
          <t>¿Coincide con ventas tarjeta?</t>
        </is>
      </c>
      <c r="B31" s="25">
        <f>IF(B30=B11,"✓ SÍ","✗ REVISAR")</f>
        <v/>
      </c>
    </row>
    <row r="33">
      <c r="A33" s="16" t="inlineStr">
        <is>
          <t>Observaciones del día:</t>
        </is>
      </c>
    </row>
  </sheetData>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K27"/>
  <sheetViews>
    <sheetView workbookViewId="0">
      <selection activeCell="A1" sqref="A1"/>
    </sheetView>
  </sheetViews>
  <sheetFormatPr baseColWidth="8" defaultRowHeight="15"/>
  <cols>
    <col width="6" customWidth="1" min="1" max="1"/>
    <col width="28" customWidth="1" min="2" max="2"/>
    <col width="16" customWidth="1" min="3" max="3"/>
    <col width="13" customWidth="1" min="4" max="4"/>
    <col width="15" customWidth="1" min="5" max="5"/>
    <col width="15" customWidth="1" min="6" max="6"/>
    <col width="13" customWidth="1" min="7" max="7"/>
    <col width="13" customWidth="1" min="8" max="8"/>
    <col width="11" customWidth="1" min="9" max="9"/>
    <col width="14" customWidth="1" min="10" max="10"/>
    <col width="8" customWidth="1" min="11" max="11"/>
  </cols>
  <sheetData>
    <row r="1">
      <c r="A1" s="8" t="inlineStr">
        <is>
          <t>Módulo 2: Catálogo de Productos y Costeo</t>
        </is>
      </c>
    </row>
    <row r="2">
      <c r="A2" s="9" t="inlineStr">
        <is>
          <t>REVISAR TRIMESTRALMENTE. Incluir costos indirectos. Última revisión requerida: inmediata.</t>
        </is>
      </c>
    </row>
    <row r="4">
      <c r="A4" s="4" t="inlineStr">
        <is>
          <t>ID</t>
        </is>
      </c>
      <c r="B4" s="4" t="inlineStr">
        <is>
          <t>Producto</t>
        </is>
      </c>
      <c r="C4" s="4" t="inlineStr">
        <is>
          <t>Categoría</t>
        </is>
      </c>
      <c r="D4" s="4" t="inlineStr">
        <is>
          <t>Precio Venta</t>
        </is>
      </c>
      <c r="E4" s="4" t="inlineStr">
        <is>
          <t>Costo Directo
(de Receta)</t>
        </is>
      </c>
      <c r="F4" s="4" t="inlineStr">
        <is>
          <t>Costo Indirecto
Asignado</t>
        </is>
      </c>
      <c r="G4" s="4" t="inlineStr">
        <is>
          <t>Costo Total</t>
        </is>
      </c>
      <c r="H4" s="4" t="inlineStr">
        <is>
          <t>Margen Bruto</t>
        </is>
      </c>
      <c r="I4" s="4" t="inlineStr">
        <is>
          <t>% Margen</t>
        </is>
      </c>
      <c r="J4" s="4" t="inlineStr">
        <is>
          <t>Fecha Últ.
Actualización</t>
        </is>
      </c>
      <c r="K4" s="4" t="inlineStr">
        <is>
          <t>Activo</t>
        </is>
      </c>
    </row>
    <row r="5">
      <c r="A5" s="11" t="inlineStr">
        <is>
          <t>P01</t>
        </is>
      </c>
      <c r="B5" s="11" t="inlineStr">
        <is>
          <t>Pizza Margarita</t>
        </is>
      </c>
      <c r="C5" s="11" t="inlineStr">
        <is>
          <t>Pizza</t>
        </is>
      </c>
      <c r="D5" s="12" t="n">
        <v>130</v>
      </c>
      <c r="E5" s="12" t="n">
        <v>45</v>
      </c>
      <c r="F5" s="12" t="n">
        <v>12</v>
      </c>
      <c r="G5" s="13">
        <f>E5+F5</f>
        <v/>
      </c>
      <c r="H5" s="13">
        <f>D5-G5</f>
        <v/>
      </c>
      <c r="I5" s="26">
        <f>IF(D5&gt;0,H5/D5,0)</f>
        <v/>
      </c>
      <c r="J5" s="27" t="n">
        <v>46097</v>
      </c>
      <c r="K5" s="6" t="inlineStr">
        <is>
          <t>Sí</t>
        </is>
      </c>
    </row>
    <row r="6">
      <c r="A6" s="11" t="inlineStr">
        <is>
          <t>P02</t>
        </is>
      </c>
      <c r="B6" s="11" t="inlineStr">
        <is>
          <t>Pizza Pepperoni</t>
        </is>
      </c>
      <c r="C6" s="11" t="inlineStr">
        <is>
          <t>Pizza</t>
        </is>
      </c>
      <c r="D6" s="12" t="n">
        <v>160</v>
      </c>
      <c r="E6" s="12" t="n">
        <v>55</v>
      </c>
      <c r="F6" s="12" t="n">
        <v>12</v>
      </c>
      <c r="G6" s="13">
        <f>E6+F6</f>
        <v/>
      </c>
      <c r="H6" s="13">
        <f>D6-G6</f>
        <v/>
      </c>
      <c r="I6" s="26">
        <f>IF(D6&gt;0,H6/D6,0)</f>
        <v/>
      </c>
      <c r="J6" s="27" t="n">
        <v>46097</v>
      </c>
      <c r="K6" s="6" t="inlineStr">
        <is>
          <t>Sí</t>
        </is>
      </c>
    </row>
    <row r="7">
      <c r="A7" s="11" t="inlineStr">
        <is>
          <t>P03</t>
        </is>
      </c>
      <c r="B7" s="11" t="inlineStr">
        <is>
          <t>Pizza Hawaiana (piña asada)</t>
        </is>
      </c>
      <c r="C7" s="11" t="inlineStr">
        <is>
          <t>Pizza</t>
        </is>
      </c>
      <c r="D7" s="12" t="n">
        <v>170</v>
      </c>
      <c r="E7" s="12" t="n">
        <v>52</v>
      </c>
      <c r="F7" s="12" t="n">
        <v>12</v>
      </c>
      <c r="G7" s="13">
        <f>E7+F7</f>
        <v/>
      </c>
      <c r="H7" s="13">
        <f>D7-G7</f>
        <v/>
      </c>
      <c r="I7" s="26">
        <f>IF(D7&gt;0,H7/D7,0)</f>
        <v/>
      </c>
      <c r="J7" s="27" t="n">
        <v>46097</v>
      </c>
      <c r="K7" s="6" t="inlineStr">
        <is>
          <t>Sí</t>
        </is>
      </c>
    </row>
    <row r="8">
      <c r="A8" s="11" t="inlineStr">
        <is>
          <t>P04</t>
        </is>
      </c>
      <c r="B8" s="11" t="inlineStr">
        <is>
          <t>Pizza Pastor</t>
        </is>
      </c>
      <c r="C8" s="11" t="inlineStr">
        <is>
          <t>Pizza</t>
        </is>
      </c>
      <c r="D8" s="12" t="n">
        <v>175</v>
      </c>
      <c r="E8" s="12" t="n">
        <v>58</v>
      </c>
      <c r="F8" s="12" t="n">
        <v>12</v>
      </c>
      <c r="G8" s="13">
        <f>E8+F8</f>
        <v/>
      </c>
      <c r="H8" s="13">
        <f>D8-G8</f>
        <v/>
      </c>
      <c r="I8" s="26">
        <f>IF(D8&gt;0,H8/D8,0)</f>
        <v/>
      </c>
      <c r="J8" s="27" t="n">
        <v>46097</v>
      </c>
      <c r="K8" s="6" t="inlineStr">
        <is>
          <t>Sí</t>
        </is>
      </c>
    </row>
    <row r="9">
      <c r="A9" s="11" t="inlineStr">
        <is>
          <t>P05</t>
        </is>
      </c>
      <c r="B9" s="11" t="inlineStr">
        <is>
          <t>Pizza Huitlacoche c/Elote</t>
        </is>
      </c>
      <c r="C9" s="11" t="inlineStr">
        <is>
          <t>Pizza</t>
        </is>
      </c>
      <c r="D9" s="12" t="n">
        <v>185</v>
      </c>
      <c r="E9" s="12" t="n">
        <v>62</v>
      </c>
      <c r="F9" s="12" t="n">
        <v>12</v>
      </c>
      <c r="G9" s="13">
        <f>E9+F9</f>
        <v/>
      </c>
      <c r="H9" s="13">
        <f>D9-G9</f>
        <v/>
      </c>
      <c r="I9" s="26">
        <f>IF(D9&gt;0,H9/D9,0)</f>
        <v/>
      </c>
      <c r="J9" s="27" t="n">
        <v>46097</v>
      </c>
      <c r="K9" s="6" t="inlineStr">
        <is>
          <t>Sí</t>
        </is>
      </c>
    </row>
    <row r="10">
      <c r="A10" s="11" t="inlineStr">
        <is>
          <t>P06</t>
        </is>
      </c>
      <c r="B10" s="11" t="inlineStr">
        <is>
          <t>Pizza Arrachera</t>
        </is>
      </c>
      <c r="C10" s="11" t="inlineStr">
        <is>
          <t>Pizza</t>
        </is>
      </c>
      <c r="D10" s="12" t="n">
        <v>195</v>
      </c>
      <c r="E10" s="12" t="n">
        <v>70</v>
      </c>
      <c r="F10" s="12" t="n">
        <v>12</v>
      </c>
      <c r="G10" s="13">
        <f>E10+F10</f>
        <v/>
      </c>
      <c r="H10" s="13">
        <f>D10-G10</f>
        <v/>
      </c>
      <c r="I10" s="26">
        <f>IF(D10&gt;0,H10/D10,0)</f>
        <v/>
      </c>
      <c r="J10" s="27" t="n">
        <v>46097</v>
      </c>
      <c r="K10" s="6" t="inlineStr">
        <is>
          <t>Sí</t>
        </is>
      </c>
    </row>
    <row r="11">
      <c r="A11" s="11" t="inlineStr">
        <is>
          <t>P07</t>
        </is>
      </c>
      <c r="B11" s="11" t="inlineStr">
        <is>
          <t>Pizza Chorizo c/Papa</t>
        </is>
      </c>
      <c r="C11" s="11" t="inlineStr">
        <is>
          <t>Pizza</t>
        </is>
      </c>
      <c r="D11" s="12" t="n">
        <v>165</v>
      </c>
      <c r="E11" s="12" t="n">
        <v>0</v>
      </c>
      <c r="F11" s="12" t="n">
        <v>12</v>
      </c>
      <c r="G11" s="13">
        <f>E11+F11</f>
        <v/>
      </c>
      <c r="H11" s="13">
        <f>D11-G11</f>
        <v/>
      </c>
      <c r="I11" s="26">
        <f>IF(D11&gt;0,H11/D11,0)</f>
        <v/>
      </c>
      <c r="J11" s="6" t="n"/>
      <c r="K11" s="6" t="inlineStr">
        <is>
          <t>Sí</t>
        </is>
      </c>
    </row>
    <row r="12">
      <c r="A12" s="11" t="inlineStr">
        <is>
          <t>P08</t>
        </is>
      </c>
      <c r="B12" s="11" t="inlineStr">
        <is>
          <t>Concha</t>
        </is>
      </c>
      <c r="C12" s="11" t="inlineStr">
        <is>
          <t>Pan/Repostería</t>
        </is>
      </c>
      <c r="D12" s="12" t="n">
        <v>25</v>
      </c>
      <c r="E12" s="12" t="n">
        <v>8</v>
      </c>
      <c r="F12" s="12" t="n">
        <v>3</v>
      </c>
      <c r="G12" s="13">
        <f>E12+F12</f>
        <v/>
      </c>
      <c r="H12" s="13">
        <f>D12-G12</f>
        <v/>
      </c>
      <c r="I12" s="26">
        <f>IF(D12&gt;0,H12/D12,0)</f>
        <v/>
      </c>
      <c r="J12" s="27" t="n">
        <v>46097</v>
      </c>
      <c r="K12" s="6" t="inlineStr">
        <is>
          <t>Sí</t>
        </is>
      </c>
    </row>
    <row r="13">
      <c r="A13" s="11" t="inlineStr">
        <is>
          <t>P09</t>
        </is>
      </c>
      <c r="B13" s="11" t="inlineStr">
        <is>
          <t>Cuerno</t>
        </is>
      </c>
      <c r="C13" s="11" t="inlineStr">
        <is>
          <t>Pan/Repostería</t>
        </is>
      </c>
      <c r="D13" s="12" t="n">
        <v>30</v>
      </c>
      <c r="E13" s="12" t="n">
        <v>10</v>
      </c>
      <c r="F13" s="12" t="n">
        <v>3</v>
      </c>
      <c r="G13" s="13">
        <f>E13+F13</f>
        <v/>
      </c>
      <c r="H13" s="13">
        <f>D13-G13</f>
        <v/>
      </c>
      <c r="I13" s="26">
        <f>IF(D13&gt;0,H13/D13,0)</f>
        <v/>
      </c>
      <c r="J13" s="27" t="n">
        <v>46097</v>
      </c>
      <c r="K13" s="6" t="inlineStr">
        <is>
          <t>Sí</t>
        </is>
      </c>
    </row>
    <row r="14">
      <c r="A14" s="11" t="inlineStr">
        <is>
          <t>P10</t>
        </is>
      </c>
      <c r="B14" s="11" t="inlineStr">
        <is>
          <t>Rol de Canela</t>
        </is>
      </c>
      <c r="C14" s="11" t="inlineStr">
        <is>
          <t>Pan/Repostería</t>
        </is>
      </c>
      <c r="D14" s="12" t="n">
        <v>35</v>
      </c>
      <c r="E14" s="12" t="n">
        <v>12</v>
      </c>
      <c r="F14" s="12" t="n">
        <v>3</v>
      </c>
      <c r="G14" s="13">
        <f>E14+F14</f>
        <v/>
      </c>
      <c r="H14" s="13">
        <f>D14-G14</f>
        <v/>
      </c>
      <c r="I14" s="26">
        <f>IF(D14&gt;0,H14/D14,0)</f>
        <v/>
      </c>
      <c r="J14" s="27" t="n">
        <v>46097</v>
      </c>
      <c r="K14" s="6" t="inlineStr">
        <is>
          <t>Sí</t>
        </is>
      </c>
    </row>
    <row r="15">
      <c r="A15" s="11" t="inlineStr">
        <is>
          <t>P11</t>
        </is>
      </c>
      <c r="B15" s="11" t="inlineStr">
        <is>
          <t>Galleta Chispas Chocolate</t>
        </is>
      </c>
      <c r="C15" s="11" t="inlineStr">
        <is>
          <t>Pan/Repostería</t>
        </is>
      </c>
      <c r="D15" s="12" t="n">
        <v>25</v>
      </c>
      <c r="E15" s="12" t="n">
        <v>9</v>
      </c>
      <c r="F15" s="12" t="n">
        <v>3</v>
      </c>
      <c r="G15" s="13">
        <f>E15+F15</f>
        <v/>
      </c>
      <c r="H15" s="13">
        <f>D15-G15</f>
        <v/>
      </c>
      <c r="I15" s="26">
        <f>IF(D15&gt;0,H15/D15,0)</f>
        <v/>
      </c>
      <c r="J15" s="27" t="n">
        <v>46097</v>
      </c>
      <c r="K15" s="6" t="inlineStr">
        <is>
          <t>Sí</t>
        </is>
      </c>
    </row>
    <row r="16">
      <c r="A16" s="11" t="inlineStr">
        <is>
          <t>P12</t>
        </is>
      </c>
      <c r="B16" s="11" t="inlineStr">
        <is>
          <t>Agua Fresca (vaso)</t>
        </is>
      </c>
      <c r="C16" s="11" t="inlineStr">
        <is>
          <t>Bebida</t>
        </is>
      </c>
      <c r="D16" s="12" t="n">
        <v>35</v>
      </c>
      <c r="E16" s="12" t="n">
        <v>8</v>
      </c>
      <c r="F16" s="12" t="n">
        <v>2</v>
      </c>
      <c r="G16" s="13">
        <f>E16+F16</f>
        <v/>
      </c>
      <c r="H16" s="13">
        <f>D16-G16</f>
        <v/>
      </c>
      <c r="I16" s="26">
        <f>IF(D16&gt;0,H16/D16,0)</f>
        <v/>
      </c>
      <c r="J16" s="27" t="n">
        <v>46097</v>
      </c>
      <c r="K16" s="6" t="inlineStr">
        <is>
          <t>Sí</t>
        </is>
      </c>
    </row>
    <row r="17">
      <c r="A17" s="11" t="inlineStr">
        <is>
          <t>P13</t>
        </is>
      </c>
      <c r="B17" s="11" t="inlineStr">
        <is>
          <t>Refresco</t>
        </is>
      </c>
      <c r="C17" s="11" t="inlineStr">
        <is>
          <t>Bebida</t>
        </is>
      </c>
      <c r="D17" s="12" t="n">
        <v>30</v>
      </c>
      <c r="E17" s="12" t="n">
        <v>15</v>
      </c>
      <c r="F17" s="12" t="n">
        <v>1</v>
      </c>
      <c r="G17" s="13">
        <f>E17+F17</f>
        <v/>
      </c>
      <c r="H17" s="13">
        <f>D17-G17</f>
        <v/>
      </c>
      <c r="I17" s="26">
        <f>IF(D17&gt;0,H17/D17,0)</f>
        <v/>
      </c>
      <c r="J17" s="27" t="n">
        <v>46097</v>
      </c>
      <c r="K17" s="6" t="inlineStr">
        <is>
          <t>Sí</t>
        </is>
      </c>
    </row>
    <row r="18">
      <c r="A18" s="11" t="inlineStr">
        <is>
          <t>P14</t>
        </is>
      </c>
      <c r="B18" s="11" t="inlineStr">
        <is>
          <t>Café</t>
        </is>
      </c>
      <c r="C18" s="11" t="inlineStr">
        <is>
          <t>Bebida</t>
        </is>
      </c>
      <c r="D18" s="12" t="n">
        <v>40</v>
      </c>
      <c r="E18" s="12" t="n">
        <v>10</v>
      </c>
      <c r="F18" s="12" t="n">
        <v>2</v>
      </c>
      <c r="G18" s="13">
        <f>E18+F18</f>
        <v/>
      </c>
      <c r="H18" s="13">
        <f>D18-G18</f>
        <v/>
      </c>
      <c r="I18" s="26">
        <f>IF(D18&gt;0,H18/D18,0)</f>
        <v/>
      </c>
      <c r="J18" s="27" t="n">
        <v>46097</v>
      </c>
      <c r="K18" s="6" t="inlineStr">
        <is>
          <t>Sí</t>
        </is>
      </c>
    </row>
    <row r="20">
      <c r="A20" s="16" t="inlineStr">
        <is>
          <t>CÁLCULO DEL COSTO INDIRECTO ASIGNADO:</t>
        </is>
      </c>
    </row>
    <row r="21">
      <c r="A21" s="9" t="inlineStr">
        <is>
          <t>Gas LP mensual promedio: $3,100 ÷ ~900 productos/mes = ~$3.44/producto</t>
        </is>
      </c>
    </row>
    <row r="22">
      <c r="A22" s="9" t="inlineStr">
        <is>
          <t>Electricidad mensual promedio: $2,800 ÷ ~900 = ~$3.11/producto</t>
        </is>
      </c>
    </row>
    <row r="23">
      <c r="A23" s="9" t="inlineStr">
        <is>
          <t>Empaques: ~$2/producto promedio</t>
        </is>
      </c>
    </row>
    <row r="24">
      <c r="A24" s="9" t="inlineStr">
        <is>
          <t>Depreciación horno (vida útil 5 años, costo ~$40,000): $667/mes ÷ ~600 pizzas = ~$1.11/pizza</t>
        </is>
      </c>
    </row>
    <row r="25">
      <c r="A25" s="24" t="inlineStr">
        <is>
          <t>→ Pizzas: ~$12/unidad | Pan: ~$3/unidad | Bebidas: ~$1-2/unidad</t>
        </is>
      </c>
    </row>
    <row r="27">
      <c r="A27" s="24" t="inlineStr">
        <is>
          <t>⚠ El producto P07 (Chorizo c/Papa) tiene costo $0: COSTEAR INMEDIATAMENTE.</t>
        </is>
      </c>
    </row>
  </sheetData>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F25"/>
  <sheetViews>
    <sheetView workbookViewId="0">
      <selection activeCell="A1" sqref="A1"/>
    </sheetView>
  </sheetViews>
  <sheetFormatPr baseColWidth="8" defaultRowHeight="15"/>
  <cols>
    <col width="22" customWidth="1" min="1" max="1"/>
    <col width="22" customWidth="1" min="2" max="2"/>
    <col width="12" customWidth="1" min="3" max="3"/>
    <col width="10" customWidth="1" min="4" max="4"/>
    <col width="15" customWidth="1" min="5" max="5"/>
    <col width="15" customWidth="1" min="6" max="6"/>
  </cols>
  <sheetData>
    <row r="1">
      <c r="A1" s="8" t="inlineStr">
        <is>
          <t>Módulo 2: Recetas - Bill of Materials</t>
        </is>
      </c>
    </row>
    <row r="2">
      <c r="A2" s="9" t="inlineStr">
        <is>
          <t>Cantidad exacta de cada insumo por producto. Base para costeo automático y deducción de inventario.</t>
        </is>
      </c>
    </row>
    <row r="4">
      <c r="A4" s="4" t="inlineStr">
        <is>
          <t>Producto</t>
        </is>
      </c>
      <c r="B4" s="4" t="inlineStr">
        <is>
          <t>Insumo</t>
        </is>
      </c>
      <c r="C4" s="4" t="inlineStr">
        <is>
          <t>Cantidad</t>
        </is>
      </c>
      <c r="D4" s="4" t="inlineStr">
        <is>
          <t>Unidad</t>
        </is>
      </c>
      <c r="E4" s="4" t="inlineStr">
        <is>
          <t>Costo/Unidad
Insumo</t>
        </is>
      </c>
      <c r="F4" s="4" t="inlineStr">
        <is>
          <t>Costo Insumo
en Producto</t>
        </is>
      </c>
    </row>
    <row r="5">
      <c r="A5" s="11" t="inlineStr">
        <is>
          <t>Pizza Margarita</t>
        </is>
      </c>
      <c r="B5" s="11" t="inlineStr">
        <is>
          <t>Masa madre (harina)</t>
        </is>
      </c>
      <c r="C5" s="11" t="n">
        <v>0.25</v>
      </c>
      <c r="D5" s="6" t="inlineStr">
        <is>
          <t>kg</t>
        </is>
      </c>
      <c r="E5" s="12" t="n">
        <v>8.98</v>
      </c>
      <c r="F5" s="13">
        <f>C5*E5</f>
        <v/>
      </c>
    </row>
    <row r="6">
      <c r="A6" s="11" t="inlineStr">
        <is>
          <t>Pizza Margarita</t>
        </is>
      </c>
      <c r="B6" s="11" t="inlineStr">
        <is>
          <t>Queso Oaxaca</t>
        </is>
      </c>
      <c r="C6" s="11" t="n">
        <v>0.2</v>
      </c>
      <c r="D6" s="6" t="inlineStr">
        <is>
          <t>kg</t>
        </is>
      </c>
      <c r="E6" s="12" t="n">
        <v>130</v>
      </c>
      <c r="F6" s="13">
        <f>C6*E6</f>
        <v/>
      </c>
    </row>
    <row r="7">
      <c r="A7" s="11" t="inlineStr">
        <is>
          <t>Pizza Margarita</t>
        </is>
      </c>
      <c r="B7" s="11" t="inlineStr">
        <is>
          <t>Salsa de tomate</t>
        </is>
      </c>
      <c r="C7" s="11" t="n">
        <v>0.1</v>
      </c>
      <c r="D7" s="6" t="inlineStr">
        <is>
          <t>litro</t>
        </is>
      </c>
      <c r="E7" s="12" t="n">
        <v>25</v>
      </c>
      <c r="F7" s="13">
        <f>C7*E7</f>
        <v/>
      </c>
    </row>
    <row r="8">
      <c r="A8" s="11" t="inlineStr">
        <is>
          <t>Pizza Margarita</t>
        </is>
      </c>
      <c r="B8" s="11" t="inlineStr">
        <is>
          <t>Albahaca</t>
        </is>
      </c>
      <c r="C8" s="11" t="n">
        <v>0.01</v>
      </c>
      <c r="D8" s="6" t="inlineStr">
        <is>
          <t>kg</t>
        </is>
      </c>
      <c r="E8" s="12" t="n">
        <v>80</v>
      </c>
      <c r="F8" s="13">
        <f>C8*E8</f>
        <v/>
      </c>
    </row>
    <row r="9">
      <c r="A9" s="11" t="inlineStr">
        <is>
          <t>Pizza Margarita</t>
        </is>
      </c>
      <c r="B9" s="11" t="inlineStr">
        <is>
          <t>Aceite de oliva</t>
        </is>
      </c>
      <c r="C9" s="11" t="n">
        <v>0.015</v>
      </c>
      <c r="D9" s="6" t="inlineStr">
        <is>
          <t>litro</t>
        </is>
      </c>
      <c r="E9" s="12" t="n">
        <v>120</v>
      </c>
      <c r="F9" s="13">
        <f>C9*E9</f>
        <v/>
      </c>
    </row>
    <row r="10">
      <c r="A10" s="11" t="inlineStr"/>
      <c r="B10" s="11" t="inlineStr"/>
      <c r="C10" s="11" t="inlineStr"/>
      <c r="D10" s="6" t="inlineStr"/>
      <c r="E10" s="12" t="inlineStr">
        <is>
          <t>TOTAL MARGARITA:</t>
        </is>
      </c>
      <c r="F10" s="13">
        <f>SUM(F5:F9)</f>
        <v/>
      </c>
    </row>
    <row r="11">
      <c r="A11" s="11" t="inlineStr">
        <is>
          <t>Pizza Pepperoni</t>
        </is>
      </c>
      <c r="B11" s="11" t="inlineStr">
        <is>
          <t>Masa madre (harina)</t>
        </is>
      </c>
      <c r="C11" s="11" t="n">
        <v>0.25</v>
      </c>
      <c r="D11" s="6" t="inlineStr">
        <is>
          <t>kg</t>
        </is>
      </c>
      <c r="E11" s="12" t="n">
        <v>8.98</v>
      </c>
      <c r="F11" s="13">
        <f>C11*E11</f>
        <v/>
      </c>
    </row>
    <row r="12">
      <c r="A12" s="11" t="inlineStr">
        <is>
          <t>Pizza Pepperoni</t>
        </is>
      </c>
      <c r="B12" s="11" t="inlineStr">
        <is>
          <t>Queso Oaxaca</t>
        </is>
      </c>
      <c r="C12" s="11" t="n">
        <v>0.2</v>
      </c>
      <c r="D12" s="6" t="inlineStr">
        <is>
          <t>kg</t>
        </is>
      </c>
      <c r="E12" s="12" t="n">
        <v>130</v>
      </c>
      <c r="F12" s="13">
        <f>C12*E12</f>
        <v/>
      </c>
    </row>
    <row r="13">
      <c r="A13" s="11" t="inlineStr">
        <is>
          <t>Pizza Pepperoni</t>
        </is>
      </c>
      <c r="B13" s="11" t="inlineStr">
        <is>
          <t>Salsa de tomate</t>
        </is>
      </c>
      <c r="C13" s="11" t="n">
        <v>0.1</v>
      </c>
      <c r="D13" s="6" t="inlineStr">
        <is>
          <t>litro</t>
        </is>
      </c>
      <c r="E13" s="12" t="n">
        <v>25</v>
      </c>
      <c r="F13" s="13">
        <f>C13*E13</f>
        <v/>
      </c>
    </row>
    <row r="14">
      <c r="A14" s="11" t="inlineStr">
        <is>
          <t>Pizza Pepperoni</t>
        </is>
      </c>
      <c r="B14" s="11" t="inlineStr">
        <is>
          <t>Pepperoni</t>
        </is>
      </c>
      <c r="C14" s="11" t="n">
        <v>0.08</v>
      </c>
      <c r="D14" s="6" t="inlineStr">
        <is>
          <t>kg</t>
        </is>
      </c>
      <c r="E14" s="12" t="n">
        <v>160</v>
      </c>
      <c r="F14" s="13">
        <f>C14*E14</f>
        <v/>
      </c>
    </row>
    <row r="15">
      <c r="A15" s="11" t="inlineStr"/>
      <c r="B15" s="11" t="inlineStr"/>
      <c r="C15" s="11" t="inlineStr"/>
      <c r="D15" s="6" t="inlineStr"/>
      <c r="E15" s="12" t="inlineStr">
        <is>
          <t>TOTAL PEPPERONI:</t>
        </is>
      </c>
      <c r="F15" s="13">
        <f>SUM(F11:F14)</f>
        <v/>
      </c>
    </row>
    <row r="16">
      <c r="A16" s="11" t="inlineStr">
        <is>
          <t>Pizza Hawaiana</t>
        </is>
      </c>
      <c r="B16" s="11" t="inlineStr">
        <is>
          <t>Masa madre (harina)</t>
        </is>
      </c>
      <c r="C16" s="11" t="n">
        <v>0.25</v>
      </c>
      <c r="D16" s="6" t="inlineStr">
        <is>
          <t>kg</t>
        </is>
      </c>
      <c r="E16" s="12" t="n">
        <v>8.98</v>
      </c>
      <c r="F16" s="13">
        <f>C16*E16</f>
        <v/>
      </c>
    </row>
    <row r="17">
      <c r="A17" s="11" t="inlineStr">
        <is>
          <t>Pizza Hawaiana</t>
        </is>
      </c>
      <c r="B17" s="11" t="inlineStr">
        <is>
          <t>Queso Oaxaca</t>
        </is>
      </c>
      <c r="C17" s="11" t="n">
        <v>0.2</v>
      </c>
      <c r="D17" s="6" t="inlineStr">
        <is>
          <t>kg</t>
        </is>
      </c>
      <c r="E17" s="12" t="n">
        <v>130</v>
      </c>
      <c r="F17" s="13">
        <f>C17*E17</f>
        <v/>
      </c>
    </row>
    <row r="18">
      <c r="A18" s="11" t="inlineStr">
        <is>
          <t>Pizza Hawaiana</t>
        </is>
      </c>
      <c r="B18" s="11" t="inlineStr">
        <is>
          <t>Salsa de tomate</t>
        </is>
      </c>
      <c r="C18" s="11" t="n">
        <v>0.1</v>
      </c>
      <c r="D18" s="6" t="inlineStr">
        <is>
          <t>litro</t>
        </is>
      </c>
      <c r="E18" s="12" t="n">
        <v>25</v>
      </c>
      <c r="F18" s="13">
        <f>C18*E18</f>
        <v/>
      </c>
    </row>
    <row r="19">
      <c r="A19" s="11" t="inlineStr">
        <is>
          <t>Pizza Hawaiana</t>
        </is>
      </c>
      <c r="B19" s="11" t="inlineStr">
        <is>
          <t>Jamón</t>
        </is>
      </c>
      <c r="C19" s="11" t="n">
        <v>0.06</v>
      </c>
      <c r="D19" s="6" t="inlineStr">
        <is>
          <t>kg</t>
        </is>
      </c>
      <c r="E19" s="12" t="n">
        <v>110</v>
      </c>
      <c r="F19" s="13">
        <f>C19*E19</f>
        <v/>
      </c>
    </row>
    <row r="20">
      <c r="A20" s="11" t="inlineStr">
        <is>
          <t>Pizza Hawaiana</t>
        </is>
      </c>
      <c r="B20" s="11" t="inlineStr">
        <is>
          <t>Piña fresca</t>
        </is>
      </c>
      <c r="C20" s="11" t="n">
        <v>0.1</v>
      </c>
      <c r="D20" s="6" t="inlineStr">
        <is>
          <t>kg</t>
        </is>
      </c>
      <c r="E20" s="12" t="n">
        <v>30</v>
      </c>
      <c r="F20" s="13">
        <f>C20*E20</f>
        <v/>
      </c>
    </row>
    <row r="21">
      <c r="A21" s="11" t="inlineStr"/>
      <c r="B21" s="11" t="inlineStr"/>
      <c r="C21" s="11" t="inlineStr"/>
      <c r="D21" s="6" t="inlineStr"/>
      <c r="E21" s="12" t="inlineStr">
        <is>
          <t>TOTAL HAWAIANA:</t>
        </is>
      </c>
      <c r="F21" s="13">
        <f>SUM(F16:F20)</f>
        <v/>
      </c>
    </row>
    <row r="23">
      <c r="A23" s="24" t="inlineStr">
        <is>
          <t>NOTA: Precio harina actualizado a $395/bulto 44kg = $8.98/kg</t>
        </is>
      </c>
    </row>
    <row r="24">
      <c r="A24" s="24" t="inlineStr">
        <is>
          <t>NOTA: Queso Oaxaca actualizado a $130/kg (antes $120, +8.3%)</t>
        </is>
      </c>
    </row>
    <row r="25">
      <c r="A25" s="24" t="inlineStr">
        <is>
          <t>COMPLETAR: Todas las recetas de los 14 productos activos.</t>
        </is>
      </c>
    </row>
  </sheetData>
  <pageMargins left="0.75" right="0.75" top="1" bottom="1" header="0.5" footer="0.5"/>
</worksheet>
</file>

<file path=xl/worksheets/sheet6.xml><?xml version="1.0" encoding="utf-8"?>
<worksheet xmlns="http://schemas.openxmlformats.org/spreadsheetml/2006/main">
  <sheetPr>
    <tabColor rgb="00ED7D31"/>
    <outlinePr summaryBelow="1" summaryRight="1"/>
    <pageSetUpPr/>
  </sheetPr>
  <dimension ref="A1:I224"/>
  <sheetViews>
    <sheetView workbookViewId="0">
      <selection activeCell="A1" sqref="A1"/>
    </sheetView>
  </sheetViews>
  <sheetFormatPr baseColWidth="8" defaultRowHeight="15"/>
  <cols>
    <col width="18" customWidth="1" min="1" max="1"/>
    <col width="10" customWidth="1" min="2" max="2"/>
    <col width="13" customWidth="1" min="3" max="3"/>
    <col width="13" customWidth="1" min="4" max="4"/>
    <col width="14" customWidth="1" min="5" max="5"/>
    <col width="13" customWidth="1" min="6" max="6"/>
    <col width="15" customWidth="1" min="7" max="7"/>
    <col width="22" customWidth="1" min="8" max="8"/>
    <col width="12" customWidth="1" min="9" max="9"/>
    <col width="12" customWidth="1" min="10" max="10"/>
  </cols>
  <sheetData>
    <row r="1">
      <c r="A1" s="8" t="inlineStr">
        <is>
          <t>Módulo 2: Control de Inventario</t>
        </is>
      </c>
    </row>
    <row r="2">
      <c r="A2" s="9" t="inlineStr">
        <is>
          <t>Revisar stock diariamente para los TOP 20 insumos. Registrar TODAS las entradas, salidas y mermas.</t>
        </is>
      </c>
    </row>
    <row r="4">
      <c r="A4" s="16" t="inlineStr">
        <is>
          <t>STOCK ACTUAL</t>
        </is>
      </c>
    </row>
    <row r="5">
      <c r="A5" s="4" t="inlineStr">
        <is>
          <t>Insumo</t>
        </is>
      </c>
      <c r="B5" s="4" t="inlineStr">
        <is>
          <t>Unidad</t>
        </is>
      </c>
      <c r="C5" s="4" t="inlineStr">
        <is>
          <t>Stock Actual</t>
        </is>
      </c>
      <c r="D5" s="4" t="inlineStr">
        <is>
          <t>Stock Mínimo</t>
        </is>
      </c>
      <c r="E5" s="4" t="inlineStr">
        <is>
          <t>¿Reabastecer?</t>
        </is>
      </c>
      <c r="F5" s="4" t="inlineStr">
        <is>
          <t>Precio Unit.</t>
        </is>
      </c>
      <c r="G5" s="4" t="inlineStr">
        <is>
          <t>Valor en Stock</t>
        </is>
      </c>
      <c r="H5" s="4" t="inlineStr">
        <is>
          <t>Proveedor</t>
        </is>
      </c>
      <c r="I5" s="4" t="inlineStr">
        <is>
          <t>Últ. Compra</t>
        </is>
      </c>
    </row>
    <row r="6">
      <c r="A6" s="11" t="inlineStr">
        <is>
          <t>Queso Oaxaca</t>
        </is>
      </c>
      <c r="B6" s="11" t="inlineStr">
        <is>
          <t>kg</t>
        </is>
      </c>
      <c r="C6" s="11" t="n">
        <v>5.2</v>
      </c>
      <c r="D6" s="6" t="n">
        <v>3</v>
      </c>
      <c r="E6" s="28">
        <f>IF(C6&lt;=D6,"⚠ PEDIR","OK")</f>
        <v/>
      </c>
      <c r="F6" s="12" t="n">
        <v>130</v>
      </c>
      <c r="G6" s="13">
        <f>C6*F6</f>
        <v/>
      </c>
      <c r="H6" s="6" t="inlineStr">
        <is>
          <t>Cremería Don Pancho</t>
        </is>
      </c>
      <c r="I6" s="27" t="n">
        <v>46095</v>
      </c>
    </row>
    <row r="7">
      <c r="A7" s="11" t="inlineStr">
        <is>
          <t>Harina (bulto 44kg)</t>
        </is>
      </c>
      <c r="B7" s="11" t="inlineStr">
        <is>
          <t>bulto</t>
        </is>
      </c>
      <c r="C7" s="11" t="n">
        <v>1.5</v>
      </c>
      <c r="D7" s="6" t="n">
        <v>1</v>
      </c>
      <c r="E7" s="28">
        <f>IF(C7&lt;=D7,"⚠ PEDIR","OK")</f>
        <v/>
      </c>
      <c r="F7" s="12" t="n">
        <v>395</v>
      </c>
      <c r="G7" s="13">
        <f>C7*F7</f>
        <v/>
      </c>
      <c r="H7" s="6" t="inlineStr">
        <is>
          <t>Dist. Harinas del Bajío</t>
        </is>
      </c>
      <c r="I7" s="27" t="n">
        <v>46091</v>
      </c>
    </row>
    <row r="8">
      <c r="A8" s="11" t="inlineStr">
        <is>
          <t>Pepperoni</t>
        </is>
      </c>
      <c r="B8" s="11" t="inlineStr">
        <is>
          <t>kg</t>
        </is>
      </c>
      <c r="C8" s="11" t="n">
        <v>2</v>
      </c>
      <c r="D8" s="6" t="n">
        <v>1.5</v>
      </c>
      <c r="E8" s="28">
        <f>IF(C8&lt;=D8,"⚠ PEDIR","OK")</f>
        <v/>
      </c>
      <c r="F8" s="12" t="n">
        <v>160</v>
      </c>
      <c r="G8" s="13">
        <f>C8*F8</f>
        <v/>
      </c>
      <c r="H8" s="6" t="inlineStr">
        <is>
          <t>Embutidos proveedor</t>
        </is>
      </c>
      <c r="I8" s="27" t="n">
        <v>46093</v>
      </c>
    </row>
    <row r="9">
      <c r="A9" s="11" t="inlineStr">
        <is>
          <t>Jamón</t>
        </is>
      </c>
      <c r="B9" s="11" t="inlineStr">
        <is>
          <t>kg</t>
        </is>
      </c>
      <c r="C9" s="11" t="n">
        <v>1.8</v>
      </c>
      <c r="D9" s="6" t="n">
        <v>1</v>
      </c>
      <c r="E9" s="28">
        <f>IF(C9&lt;=D9,"⚠ PEDIR","OK")</f>
        <v/>
      </c>
      <c r="F9" s="12" t="n">
        <v>110</v>
      </c>
      <c r="G9" s="13">
        <f>C9*F9</f>
        <v/>
      </c>
      <c r="H9" s="6" t="inlineStr">
        <is>
          <t>Embutidos proveedor</t>
        </is>
      </c>
      <c r="I9" s="27" t="n">
        <v>46093</v>
      </c>
    </row>
    <row r="10">
      <c r="A10" s="11" t="inlineStr">
        <is>
          <t>Salsa de tomate</t>
        </is>
      </c>
      <c r="B10" s="11" t="inlineStr">
        <is>
          <t>litro</t>
        </is>
      </c>
      <c r="C10" s="11" t="n">
        <v>8</v>
      </c>
      <c r="D10" s="6" t="n">
        <v>5</v>
      </c>
      <c r="E10" s="28">
        <f>IF(C10&lt;=D10,"⚠ PEDIR","OK")</f>
        <v/>
      </c>
      <c r="F10" s="12" t="n">
        <v>25</v>
      </c>
      <c r="G10" s="13">
        <f>C10*F10</f>
        <v/>
      </c>
      <c r="H10" s="6" t="inlineStr">
        <is>
          <t>Central de Abastos</t>
        </is>
      </c>
      <c r="I10" s="27" t="n">
        <v>46096</v>
      </c>
    </row>
    <row r="11">
      <c r="A11" s="11" t="inlineStr">
        <is>
          <t>Champiñones</t>
        </is>
      </c>
      <c r="B11" s="11" t="inlineStr">
        <is>
          <t>kg</t>
        </is>
      </c>
      <c r="C11" s="11" t="n">
        <v>0.5</v>
      </c>
      <c r="D11" s="6" t="n">
        <v>1</v>
      </c>
      <c r="E11" s="28">
        <f>IF(C11&lt;=D11,"⚠ PEDIR","OK")</f>
        <v/>
      </c>
      <c r="F11" s="12" t="n">
        <v>90</v>
      </c>
      <c r="G11" s="13">
        <f>C11*F11</f>
        <v/>
      </c>
      <c r="H11" s="6" t="inlineStr">
        <is>
          <t>Central de Abastos</t>
        </is>
      </c>
      <c r="I11" s="27" t="n">
        <v>46096</v>
      </c>
    </row>
    <row r="12">
      <c r="A12" s="11" t="inlineStr">
        <is>
          <t>Piña fresca</t>
        </is>
      </c>
      <c r="B12" s="11" t="inlineStr">
        <is>
          <t>kg</t>
        </is>
      </c>
      <c r="C12" s="11" t="n">
        <v>2</v>
      </c>
      <c r="D12" s="6" t="n">
        <v>1.5</v>
      </c>
      <c r="E12" s="28">
        <f>IF(C12&lt;=D12,"⚠ PEDIR","OK")</f>
        <v/>
      </c>
      <c r="F12" s="12" t="n">
        <v>30</v>
      </c>
      <c r="G12" s="13">
        <f>C12*F12</f>
        <v/>
      </c>
      <c r="H12" s="6" t="inlineStr">
        <is>
          <t>Central de Abastos</t>
        </is>
      </c>
      <c r="I12" s="27" t="n">
        <v>46096</v>
      </c>
    </row>
    <row r="13">
      <c r="A13" s="11" t="inlineStr">
        <is>
          <t>Huitlacoche</t>
        </is>
      </c>
      <c r="B13" s="11" t="inlineStr">
        <is>
          <t>kg</t>
        </is>
      </c>
      <c r="C13" s="11" t="n">
        <v>0.3</v>
      </c>
      <c r="D13" s="6" t="n">
        <v>0.5</v>
      </c>
      <c r="E13" s="28">
        <f>IF(C13&lt;=D13,"⚠ PEDIR","OK")</f>
        <v/>
      </c>
      <c r="F13" s="12" t="n">
        <v>180</v>
      </c>
      <c r="G13" s="13">
        <f>C13*F13</f>
        <v/>
      </c>
      <c r="H13" s="6" t="inlineStr">
        <is>
          <t>Central de Abastos</t>
        </is>
      </c>
      <c r="I13" s="27" t="n">
        <v>46096</v>
      </c>
    </row>
    <row r="14">
      <c r="A14" s="11" t="inlineStr">
        <is>
          <t>Aceite de oliva</t>
        </is>
      </c>
      <c r="B14" s="11" t="inlineStr">
        <is>
          <t>litro</t>
        </is>
      </c>
      <c r="C14" s="11" t="n">
        <v>3</v>
      </c>
      <c r="D14" s="6" t="n">
        <v>2</v>
      </c>
      <c r="E14" s="28">
        <f>IF(C14&lt;=D14,"⚠ PEDIR","OK")</f>
        <v/>
      </c>
      <c r="F14" s="12" t="n">
        <v>120</v>
      </c>
      <c r="G14" s="13">
        <f>C14*F14</f>
        <v/>
      </c>
      <c r="H14" s="6" t="inlineStr">
        <is>
          <t>Compra directa</t>
        </is>
      </c>
      <c r="I14" s="27" t="n">
        <v>46089</v>
      </c>
    </row>
    <row r="15">
      <c r="A15" s="11" t="inlineStr">
        <is>
          <t>Albahaca</t>
        </is>
      </c>
      <c r="B15" s="11" t="inlineStr">
        <is>
          <t>kg</t>
        </is>
      </c>
      <c r="C15" s="11" t="n">
        <v>0.2</v>
      </c>
      <c r="D15" s="6" t="n">
        <v>0.3</v>
      </c>
      <c r="E15" s="28">
        <f>IF(C15&lt;=D15,"⚠ PEDIR","OK")</f>
        <v/>
      </c>
      <c r="F15" s="12" t="n">
        <v>80</v>
      </c>
      <c r="G15" s="13">
        <f>C15*F15</f>
        <v/>
      </c>
      <c r="H15" s="6" t="inlineStr">
        <is>
          <t>Central de Abastos</t>
        </is>
      </c>
      <c r="I15" s="27" t="n">
        <v>46096</v>
      </c>
    </row>
    <row r="16">
      <c r="A16" s="11" t="inlineStr">
        <is>
          <t>Mantequilla</t>
        </is>
      </c>
      <c r="B16" s="11" t="inlineStr">
        <is>
          <t>kg</t>
        </is>
      </c>
      <c r="C16" s="11" t="n">
        <v>2.5</v>
      </c>
      <c r="D16" s="6" t="n">
        <v>2</v>
      </c>
      <c r="E16" s="28">
        <f>IF(C16&lt;=D16,"⚠ PEDIR","OK")</f>
        <v/>
      </c>
      <c r="F16" s="12" t="n">
        <v>95</v>
      </c>
      <c r="G16" s="13">
        <f>C16*F16</f>
        <v/>
      </c>
      <c r="H16" s="6" t="inlineStr">
        <is>
          <t>Cremería Don Pancho</t>
        </is>
      </c>
      <c r="I16" s="27" t="n">
        <v>46095</v>
      </c>
    </row>
    <row r="17">
      <c r="A17" s="11" t="inlineStr">
        <is>
          <t>Azúcar</t>
        </is>
      </c>
      <c r="B17" s="11" t="inlineStr">
        <is>
          <t>kg</t>
        </is>
      </c>
      <c r="C17" s="11" t="n">
        <v>5</v>
      </c>
      <c r="D17" s="6" t="n">
        <v>3</v>
      </c>
      <c r="E17" s="28">
        <f>IF(C17&lt;=D17,"⚠ PEDIR","OK")</f>
        <v/>
      </c>
      <c r="F17" s="12" t="n">
        <v>28</v>
      </c>
      <c r="G17" s="13">
        <f>C17*F17</f>
        <v/>
      </c>
      <c r="H17" s="6" t="inlineStr">
        <is>
          <t>Compra directa</t>
        </is>
      </c>
      <c r="I17" s="27" t="n">
        <v>46086</v>
      </c>
    </row>
    <row r="18">
      <c r="A18" s="11" t="inlineStr">
        <is>
          <t>Huevo</t>
        </is>
      </c>
      <c r="B18" s="11" t="inlineStr">
        <is>
          <t>pieza</t>
        </is>
      </c>
      <c r="C18" s="11" t="n">
        <v>60</v>
      </c>
      <c r="D18" s="6" t="n">
        <v>30</v>
      </c>
      <c r="E18" s="28">
        <f>IF(C18&lt;=D18,"⚠ PEDIR","OK")</f>
        <v/>
      </c>
      <c r="F18" s="12" t="n">
        <v>4.5</v>
      </c>
      <c r="G18" s="13">
        <f>C18*F18</f>
        <v/>
      </c>
      <c r="H18" s="6" t="inlineStr">
        <is>
          <t>Central de Abastos</t>
        </is>
      </c>
      <c r="I18" s="27" t="n">
        <v>46096</v>
      </c>
    </row>
    <row r="19">
      <c r="A19" s="11" t="inlineStr">
        <is>
          <t>Chocolate chispas</t>
        </is>
      </c>
      <c r="B19" s="11" t="inlineStr">
        <is>
          <t>kg</t>
        </is>
      </c>
      <c r="C19" s="11" t="n">
        <v>1</v>
      </c>
      <c r="D19" s="6" t="n">
        <v>0.5</v>
      </c>
      <c r="E19" s="28">
        <f>IF(C19&lt;=D19,"⚠ PEDIR","OK")</f>
        <v/>
      </c>
      <c r="F19" s="12" t="n">
        <v>150</v>
      </c>
      <c r="G19" s="13">
        <f>C19*F19</f>
        <v/>
      </c>
      <c r="H19" s="6" t="inlineStr">
        <is>
          <t>Compra directa</t>
        </is>
      </c>
      <c r="I19" s="27" t="n">
        <v>46082</v>
      </c>
    </row>
    <row r="20">
      <c r="A20" s="11" t="inlineStr">
        <is>
          <t>Gas LP</t>
        </is>
      </c>
      <c r="B20" s="11" t="inlineStr">
        <is>
          <t>tanque</t>
        </is>
      </c>
      <c r="C20" s="11" t="n">
        <v>0.7</v>
      </c>
      <c r="D20" s="6" t="n">
        <v>0.5</v>
      </c>
      <c r="E20" s="28">
        <f>IF(C20&lt;=D20,"⚠ PEDIR","OK")</f>
        <v/>
      </c>
      <c r="F20" s="12" t="n">
        <v>800</v>
      </c>
      <c r="G20" s="13">
        <f>C20*F20</f>
        <v/>
      </c>
      <c r="H20" s="6" t="inlineStr">
        <is>
          <t>Distribuidor gas</t>
        </is>
      </c>
      <c r="I20" s="27" t="n">
        <v>46092</v>
      </c>
    </row>
    <row r="21">
      <c r="F21" s="14" t="inlineStr">
        <is>
          <t>VALOR TOTAL:</t>
        </is>
      </c>
      <c r="G21" s="15">
        <f>SUM(G6:G20)</f>
        <v/>
      </c>
    </row>
    <row r="24">
      <c r="A24" s="16" t="inlineStr">
        <is>
          <t>REGISTRO DE MOVIMIENTOS</t>
        </is>
      </c>
    </row>
    <row r="25">
      <c r="A25" s="4" t="inlineStr">
        <is>
          <t>Fecha</t>
        </is>
      </c>
      <c r="B25" s="4" t="inlineStr">
        <is>
          <t>Insumo</t>
        </is>
      </c>
      <c r="C25" s="4" t="inlineStr">
        <is>
          <t>Tipo</t>
        </is>
      </c>
      <c r="D25" s="4" t="inlineStr">
        <is>
          <t>Cantidad</t>
        </is>
      </c>
      <c r="E25" s="4" t="inlineStr">
        <is>
          <t>Unidad</t>
        </is>
      </c>
      <c r="F25" s="4" t="inlineStr">
        <is>
          <t>Proveedor/Motivo</t>
        </is>
      </c>
      <c r="G25" s="4" t="inlineStr">
        <is>
          <t>Folio Nota</t>
        </is>
      </c>
      <c r="H25" s="4" t="inlineStr">
        <is>
          <t>Registró</t>
        </is>
      </c>
    </row>
    <row r="26">
      <c r="A26" s="10" t="n">
        <v>46095</v>
      </c>
      <c r="B26" s="11" t="inlineStr">
        <is>
          <t>Queso Oaxaca</t>
        </is>
      </c>
      <c r="C26" s="11" t="inlineStr">
        <is>
          <t>Entrada (compra)</t>
        </is>
      </c>
      <c r="D26" s="6" t="n">
        <v>5</v>
      </c>
      <c r="E26" s="6" t="inlineStr">
        <is>
          <t>kg</t>
        </is>
      </c>
      <c r="F26" s="6" t="inlineStr">
        <is>
          <t>Cremería Don Pancho</t>
        </is>
      </c>
      <c r="G26" s="6" t="inlineStr">
        <is>
          <t>NP-047</t>
        </is>
      </c>
      <c r="H26" s="6" t="inlineStr">
        <is>
          <t>Martín</t>
        </is>
      </c>
    </row>
    <row r="27">
      <c r="A27" s="10" t="n">
        <v>46095</v>
      </c>
      <c r="B27" s="11" t="inlineStr">
        <is>
          <t>Champiñones</t>
        </is>
      </c>
      <c r="C27" s="11" t="inlineStr">
        <is>
          <t>Merma/Desperdicio</t>
        </is>
      </c>
      <c r="D27" s="6" t="n">
        <v>0.3</v>
      </c>
      <c r="E27" s="6" t="inlineStr">
        <is>
          <t>kg</t>
        </is>
      </c>
      <c r="F27" s="6" t="inlineStr">
        <is>
          <t>Caducidad</t>
        </is>
      </c>
      <c r="G27" s="6" t="inlineStr"/>
      <c r="H27" s="6" t="inlineStr">
        <is>
          <t>Mariana</t>
        </is>
      </c>
    </row>
    <row r="28">
      <c r="A28" s="10" t="n">
        <v>46096</v>
      </c>
      <c r="B28" s="11" t="inlineStr">
        <is>
          <t>Queso Oaxaca</t>
        </is>
      </c>
      <c r="C28" s="11" t="inlineStr">
        <is>
          <t>Salida (uso)</t>
        </is>
      </c>
      <c r="D28" s="6" t="n">
        <v>2.8</v>
      </c>
      <c r="E28" s="6" t="inlineStr">
        <is>
          <t>kg</t>
        </is>
      </c>
      <c r="F28" s="6" t="inlineStr">
        <is>
          <t>Producción día</t>
        </is>
      </c>
      <c r="G28" s="6" t="inlineStr"/>
      <c r="H28" s="6" t="inlineStr">
        <is>
          <t>Sofía</t>
        </is>
      </c>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sheetData>
  <dataValidations count="1">
    <dataValidation sqref="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showDropDown="0" showInputMessage="0" showErrorMessage="0" allowBlank="0" type="list">
      <formula1>"Entrada (compra),Salida (uso),Merma/Desperdicio,Autoconsumo"</formula1>
    </dataValidation>
  </dataValidation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503"/>
  <sheetViews>
    <sheetView workbookViewId="0">
      <selection activeCell="A1" sqref="A1"/>
    </sheetView>
  </sheetViews>
  <sheetFormatPr baseColWidth="8" defaultRowHeight="15"/>
  <cols>
    <col width="12" customWidth="1" min="1" max="1"/>
    <col width="25" customWidth="1" min="2" max="2"/>
    <col width="28" customWidth="1" min="3" max="3"/>
    <col width="40" customWidth="1" min="4" max="4"/>
    <col width="13" customWidth="1" min="5" max="5"/>
    <col width="22" customWidth="1" min="6" max="6"/>
    <col width="22" customWidth="1" min="7" max="7"/>
    <col width="15" customWidth="1" min="8" max="8"/>
    <col width="12" customWidth="1" min="9" max="9"/>
    <col width="20" customWidth="1" min="10" max="10"/>
  </cols>
  <sheetData>
    <row r="1">
      <c r="A1" s="8" t="inlineStr">
        <is>
          <t>Módulo 3: Registro de Gastos</t>
        </is>
      </c>
    </row>
    <row r="2">
      <c r="A2" s="9" t="inlineStr">
        <is>
          <t>Registrar TODO gasto el mismo día. Mariana es responsable. Usar SIEMPRE las categorías del menú desplegable.</t>
        </is>
      </c>
    </row>
    <row r="4">
      <c r="A4" s="4" t="inlineStr">
        <is>
          <t>Fecha</t>
        </is>
      </c>
      <c r="B4" s="4" t="inlineStr">
        <is>
          <t>Proveedor
(nombre estandarizado)</t>
        </is>
      </c>
      <c r="C4" s="4" t="inlineStr">
        <is>
          <t>Categoría</t>
        </is>
      </c>
      <c r="D4" s="4" t="inlineStr">
        <is>
          <t>Descripción</t>
        </is>
      </c>
      <c r="E4" s="4" t="inlineStr">
        <is>
          <t>Monto</t>
        </is>
      </c>
      <c r="F4" s="4" t="inlineStr">
        <is>
          <t>Método Pago</t>
        </is>
      </c>
      <c r="G4" s="4" t="inlineStr">
        <is>
          <t>Documento
Soporte</t>
        </is>
      </c>
      <c r="H4" s="4" t="inlineStr">
        <is>
          <t>Folio Nota</t>
        </is>
      </c>
      <c r="I4" s="4" t="inlineStr">
        <is>
          <t>Registró</t>
        </is>
      </c>
      <c r="J4" s="4" t="inlineStr">
        <is>
          <t>Observaciones</t>
        </is>
      </c>
    </row>
    <row r="5">
      <c r="A5" s="10" t="n">
        <v>46095</v>
      </c>
      <c r="B5" s="11" t="inlineStr">
        <is>
          <t>Cremería Don Pancho</t>
        </is>
      </c>
      <c r="C5" s="11" t="inlineStr">
        <is>
          <t>Materias primas</t>
        </is>
      </c>
      <c r="D5" s="6" t="inlineStr">
        <is>
          <t>Queso Oaxaca 5kg + crema 2L</t>
        </is>
      </c>
      <c r="E5" s="12" t="n">
        <v>780</v>
      </c>
      <c r="F5" s="6" t="inlineStr">
        <is>
          <t>Crédito proveedor</t>
        </is>
      </c>
      <c r="G5" s="6" t="inlineStr">
        <is>
          <t>Nota de proveedor</t>
        </is>
      </c>
      <c r="H5" s="6" t="inlineStr">
        <is>
          <t>NP-047</t>
        </is>
      </c>
      <c r="I5" s="6" t="inlineStr">
        <is>
          <t>Mariana</t>
        </is>
      </c>
      <c r="J5" s="6" t="inlineStr">
        <is>
          <t>Pagar viernes</t>
        </is>
      </c>
    </row>
    <row r="6">
      <c r="A6" s="10" t="n">
        <v>46095</v>
      </c>
      <c r="B6" s="11" t="inlineStr">
        <is>
          <t>Central de Abastos Morelia</t>
        </is>
      </c>
      <c r="C6" s="11" t="inlineStr">
        <is>
          <t>Materias primas</t>
        </is>
      </c>
      <c r="D6" s="6" t="inlineStr">
        <is>
          <t>Verduras varias (tomate, cebolla, piña, champiñones)</t>
        </is>
      </c>
      <c r="E6" s="12" t="n">
        <v>860</v>
      </c>
      <c r="F6" s="6" t="inlineStr">
        <is>
          <t>Efectivo de caja</t>
        </is>
      </c>
      <c r="G6" s="6" t="inlineStr">
        <is>
          <t>Nota de proveedor</t>
        </is>
      </c>
      <c r="H6" s="6" t="inlineStr">
        <is>
          <t>NP-048</t>
        </is>
      </c>
      <c r="I6" s="6" t="inlineStr">
        <is>
          <t>Martín</t>
        </is>
      </c>
      <c r="J6" s="6" t="inlineStr"/>
    </row>
    <row r="7">
      <c r="A7" s="10" t="n">
        <v>46096</v>
      </c>
      <c r="B7" s="11" t="inlineStr">
        <is>
          <t>Dist. Harinas del Bajío</t>
        </is>
      </c>
      <c r="C7" s="11" t="inlineStr">
        <is>
          <t>Materias primas</t>
        </is>
      </c>
      <c r="D7" s="6" t="inlineStr">
        <is>
          <t>Harina 1 bulto 44kg</t>
        </is>
      </c>
      <c r="E7" s="12" t="n">
        <v>395</v>
      </c>
      <c r="F7" s="6" t="inlineStr">
        <is>
          <t>Transferencia bancaria</t>
        </is>
      </c>
      <c r="G7" s="6" t="inlineStr">
        <is>
          <t>Factura CFDI</t>
        </is>
      </c>
      <c r="H7" s="6" t="inlineStr">
        <is>
          <t>F-2026-103</t>
        </is>
      </c>
      <c r="I7" s="6" t="inlineStr">
        <is>
          <t>Mariana</t>
        </is>
      </c>
      <c r="J7" s="6" t="inlineStr"/>
    </row>
    <row r="8">
      <c r="A8" s="10" t="n">
        <v>46096</v>
      </c>
      <c r="B8" s="11" t="inlineStr">
        <is>
          <t>CFE</t>
        </is>
      </c>
      <c r="C8" s="11" t="inlineStr">
        <is>
          <t>Servicios (luz/agua/gas/internet)</t>
        </is>
      </c>
      <c r="D8" s="6" t="inlineStr">
        <is>
          <t>Recibo electricidad marzo</t>
        </is>
      </c>
      <c r="E8" s="12" t="n">
        <v>2800</v>
      </c>
      <c r="F8" s="6" t="inlineStr">
        <is>
          <t>Transferencia bancaria</t>
        </is>
      </c>
      <c r="G8" s="6" t="inlineStr">
        <is>
          <t>Recibo</t>
        </is>
      </c>
      <c r="H8" s="6" t="inlineStr"/>
      <c r="I8" s="6" t="inlineStr">
        <is>
          <t>Mariana</t>
        </is>
      </c>
      <c r="J8" s="6" t="inlineStr"/>
    </row>
    <row r="9">
      <c r="A9" s="10" t="n">
        <v>46082</v>
      </c>
      <c r="B9" s="11" t="inlineStr">
        <is>
          <t>Arrendador</t>
        </is>
      </c>
      <c r="C9" s="11" t="inlineStr">
        <is>
          <t>Renta</t>
        </is>
      </c>
      <c r="D9" s="6" t="inlineStr">
        <is>
          <t>Renta local marzo 2026</t>
        </is>
      </c>
      <c r="E9" s="12" t="n">
        <v>14000</v>
      </c>
      <c r="F9" s="6" t="inlineStr">
        <is>
          <t>Transferencia bancaria</t>
        </is>
      </c>
      <c r="G9" s="6" t="inlineStr">
        <is>
          <t>Recibo</t>
        </is>
      </c>
      <c r="H9" s="6" t="inlineStr"/>
      <c r="I9" s="6" t="inlineStr">
        <is>
          <t>Martín</t>
        </is>
      </c>
      <c r="J9" s="6" t="inlineStr"/>
    </row>
    <row r="10">
      <c r="A10" s="10" t="n">
        <v>46096</v>
      </c>
      <c r="B10" s="11" t="inlineStr">
        <is>
          <t>Luis Ángel Empleado</t>
        </is>
      </c>
      <c r="C10" s="11" t="inlineStr">
        <is>
          <t>Nómina</t>
        </is>
      </c>
      <c r="D10" s="6" t="inlineStr">
        <is>
          <t>Quincena 1-15 marzo</t>
        </is>
      </c>
      <c r="E10" s="12" t="n">
        <v>3750</v>
      </c>
      <c r="F10" s="6" t="inlineStr">
        <is>
          <t>Efectivo de caja</t>
        </is>
      </c>
      <c r="G10" s="6" t="inlineStr">
        <is>
          <t>Recibo</t>
        </is>
      </c>
      <c r="H10" s="6" t="inlineStr">
        <is>
          <t>NOM-2026-05</t>
        </is>
      </c>
      <c r="I10" s="6" t="inlineStr">
        <is>
          <t>Martín</t>
        </is>
      </c>
      <c r="J10" s="6" t="inlineStr"/>
    </row>
    <row r="11">
      <c r="A11" s="10" t="n">
        <v>46096</v>
      </c>
      <c r="B11" s="11" t="inlineStr">
        <is>
          <t>Sofía Valadés</t>
        </is>
      </c>
      <c r="C11" s="11" t="inlineStr">
        <is>
          <t>Nómina</t>
        </is>
      </c>
      <c r="D11" s="6" t="inlineStr">
        <is>
          <t>Quincena 1-15 marzo</t>
        </is>
      </c>
      <c r="E11" s="12" t="n">
        <v>3750</v>
      </c>
      <c r="F11" s="6" t="inlineStr">
        <is>
          <t>Efectivo de caja</t>
        </is>
      </c>
      <c r="G11" s="6" t="inlineStr">
        <is>
          <t>Recibo</t>
        </is>
      </c>
      <c r="H11" s="6" t="inlineStr">
        <is>
          <t>NOM-2026-06</t>
        </is>
      </c>
      <c r="I11" s="6" t="inlineStr">
        <is>
          <t>Martín</t>
        </is>
      </c>
      <c r="J11" s="6" t="inlineStr"/>
    </row>
    <row r="12"/>
    <row r="13">
      <c r="A13" s="24" t="inlineStr">
        <is>
          <t>⚠ REGLA CRÍTICA: Los gastos personales de Martín/Mariana NO se registran aquí.</t>
        </is>
      </c>
    </row>
    <row r="14">
      <c r="A14" s="9" t="inlineStr">
        <is>
          <t xml:space="preserve">   Los gastos personales van en la cuenta personal. Solo "Retiro propietario" registra el salario administrativo asignado.</t>
        </is>
      </c>
    </row>
    <row r="15"/>
    <row r="16">
      <c r="A16" s="16" t="inlineStr">
        <is>
          <t>PROVEEDORES ESTANDARIZADOS (usar siempre estos nombres):</t>
        </is>
      </c>
    </row>
    <row r="17">
      <c r="A17" s="23" t="inlineStr">
        <is>
          <t xml:space="preserve">   • Cremería Don Pancho</t>
        </is>
      </c>
    </row>
    <row r="18">
      <c r="A18" s="23" t="inlineStr">
        <is>
          <t xml:space="preserve">   • Dist. Harinas del Bajío</t>
        </is>
      </c>
    </row>
    <row r="19">
      <c r="A19" s="23" t="inlineStr">
        <is>
          <t xml:space="preserve">   • Central de Abastos Morelia</t>
        </is>
      </c>
    </row>
    <row r="20">
      <c r="A20" s="23" t="inlineStr">
        <is>
          <t xml:space="preserve">   • Proveedor Embutidos [nombre]</t>
        </is>
      </c>
    </row>
    <row r="21">
      <c r="A21" s="23" t="inlineStr">
        <is>
          <t xml:space="preserve">   • Distribuidor Gas LP</t>
        </is>
      </c>
    </row>
    <row r="22">
      <c r="A22" s="23" t="inlineStr">
        <is>
          <t xml:space="preserve">   • CFE</t>
        </is>
      </c>
    </row>
    <row r="23">
      <c r="A23" s="23" t="inlineStr">
        <is>
          <t xml:space="preserve">   • SAPAS (agua)</t>
        </is>
      </c>
    </row>
    <row r="24">
      <c r="A24" s="23" t="inlineStr">
        <is>
          <t xml:space="preserve">   • Arrendador</t>
        </is>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sheetData>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0" error="Usar solo las 10 categorías definidas" type="list">
      <formula1>"Materias primas,Renta,Servicios (luz/agua/gas/internet),Nómina,Mantenimiento y reparaciones,Gastos administrativos,Impuestos y fiscal,Gastos de venta,Retiro propietario,Otro"</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showDropDown="0" showInputMessage="0" showErrorMessage="0" allowBlank="0" type="list">
      <formula1>"Efectivo de caja,Transferencia bancaria,Tarjeta débito negocio,Crédito proveedor"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showDropDown="0" showInputMessage="0" showErrorMessage="0" allowBlank="0" type="list">
      <formula1>"Nota de proveedor,Factura CFDI,Recibo,Ticket,Comprobante transferencia,Sin documento"</formula1>
    </dataValidation>
  </dataValidations>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F30"/>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s>
  <sheetData>
    <row r="1">
      <c r="A1" s="8" t="inlineStr">
        <is>
          <t>Módulo 3: Flujo de Caja Mensual</t>
        </is>
      </c>
    </row>
    <row r="2">
      <c r="A2" s="9" t="inlineStr">
        <is>
          <t>Resumen mensual automático. Se alimenta de Registro de Ventas y Gastos.</t>
        </is>
      </c>
    </row>
    <row r="4">
      <c r="A4" s="4" t="inlineStr">
        <is>
          <t>Concepto</t>
        </is>
      </c>
      <c r="B4" s="4" t="inlineStr">
        <is>
          <t>Diciembre</t>
        </is>
      </c>
      <c r="C4" s="4" t="inlineStr">
        <is>
          <t>Enero</t>
        </is>
      </c>
      <c r="D4" s="4" t="inlineStr">
        <is>
          <t>Febrero</t>
        </is>
      </c>
      <c r="E4" s="4" t="inlineStr">
        <is>
          <t>Marzo</t>
        </is>
      </c>
      <c r="F4" s="4" t="inlineStr">
        <is>
          <t>Promedio</t>
        </is>
      </c>
    </row>
    <row r="5">
      <c r="A5" s="14" t="inlineStr">
        <is>
          <t>INGRESOS</t>
        </is>
      </c>
      <c r="B5" s="29" t="n"/>
      <c r="C5" s="29" t="n"/>
      <c r="D5" s="29" t="n"/>
      <c r="E5" s="29" t="n"/>
      <c r="F5" s="29" t="n"/>
    </row>
    <row r="6">
      <c r="A6" s="23" t="inlineStr">
        <is>
          <t>Ventas en efectivo</t>
        </is>
      </c>
      <c r="B6" s="29" t="n"/>
      <c r="C6" s="29" t="n"/>
      <c r="D6" s="29" t="n"/>
      <c r="E6" s="29" t="n"/>
      <c r="F6" s="29" t="n"/>
    </row>
    <row r="7">
      <c r="A7" s="23" t="inlineStr">
        <is>
          <t>Ventas con tarjeta</t>
        </is>
      </c>
      <c r="B7" s="29" t="n"/>
      <c r="C7" s="29" t="n"/>
      <c r="D7" s="29" t="n"/>
      <c r="E7" s="29" t="n"/>
      <c r="F7" s="29" t="n"/>
    </row>
    <row r="8">
      <c r="A8" s="23" t="inlineStr">
        <is>
          <t>Ventas por transferencia</t>
        </is>
      </c>
      <c r="B8" s="29" t="n"/>
      <c r="C8" s="29" t="n"/>
      <c r="D8" s="29" t="n"/>
      <c r="E8" s="29" t="n"/>
      <c r="F8" s="29" t="n"/>
    </row>
    <row r="9">
      <c r="A9" s="23" t="inlineStr">
        <is>
          <t>Otros ingresos</t>
        </is>
      </c>
      <c r="B9" s="29" t="n"/>
      <c r="C9" s="29" t="n"/>
      <c r="D9" s="29" t="n"/>
      <c r="E9" s="29" t="n"/>
      <c r="F9" s="29" t="n"/>
    </row>
    <row r="10">
      <c r="A10" s="14" t="inlineStr">
        <is>
          <t>TOTAL INGRESOS</t>
        </is>
      </c>
      <c r="B10" s="30" t="n"/>
      <c r="C10" s="30" t="n"/>
      <c r="D10" s="30" t="n"/>
      <c r="E10" s="30" t="n"/>
      <c r="F10" s="30" t="n"/>
    </row>
    <row r="11">
      <c r="A11" s="23" t="inlineStr"/>
      <c r="B11" s="29" t="n"/>
      <c r="C11" s="29" t="n"/>
      <c r="D11" s="29" t="n"/>
      <c r="E11" s="29" t="n"/>
      <c r="F11" s="29" t="n"/>
    </row>
    <row r="12">
      <c r="A12" s="14" t="inlineStr">
        <is>
          <t>EGRESOS</t>
        </is>
      </c>
      <c r="B12" s="29" t="n"/>
      <c r="C12" s="29" t="n"/>
      <c r="D12" s="29" t="n"/>
      <c r="E12" s="29" t="n"/>
      <c r="F12" s="29" t="n"/>
    </row>
    <row r="13">
      <c r="A13" s="23" t="inlineStr">
        <is>
          <t>Materias primas</t>
        </is>
      </c>
      <c r="B13" s="29" t="n"/>
      <c r="C13" s="29" t="n"/>
      <c r="D13" s="29" t="n"/>
      <c r="E13" s="29" t="n"/>
      <c r="F13" s="29" t="n"/>
    </row>
    <row r="14">
      <c r="A14" s="23" t="inlineStr">
        <is>
          <t>Renta</t>
        </is>
      </c>
      <c r="B14" s="29" t="n"/>
      <c r="C14" s="29" t="n"/>
      <c r="D14" s="29" t="n"/>
      <c r="E14" s="29" t="n"/>
      <c r="F14" s="29" t="n"/>
    </row>
    <row r="15">
      <c r="A15" s="23" t="inlineStr">
        <is>
          <t>Servicios (luz/agua/gas/internet)</t>
        </is>
      </c>
      <c r="B15" s="29" t="n"/>
      <c r="C15" s="29" t="n"/>
      <c r="D15" s="29" t="n"/>
      <c r="E15" s="29" t="n"/>
      <c r="F15" s="29" t="n"/>
    </row>
    <row r="16">
      <c r="A16" s="23" t="inlineStr">
        <is>
          <t>Nómina</t>
        </is>
      </c>
      <c r="B16" s="29" t="n"/>
      <c r="C16" s="29" t="n"/>
      <c r="D16" s="29" t="n"/>
      <c r="E16" s="29" t="n"/>
      <c r="F16" s="29" t="n"/>
    </row>
    <row r="17">
      <c r="A17" s="23" t="inlineStr">
        <is>
          <t>Mantenimiento y reparaciones</t>
        </is>
      </c>
      <c r="B17" s="29" t="n"/>
      <c r="C17" s="29" t="n"/>
      <c r="D17" s="29" t="n"/>
      <c r="E17" s="29" t="n"/>
      <c r="F17" s="29" t="n"/>
    </row>
    <row r="18">
      <c r="A18" s="23" t="inlineStr">
        <is>
          <t>Gastos administrativos</t>
        </is>
      </c>
      <c r="B18" s="29" t="n"/>
      <c r="C18" s="29" t="n"/>
      <c r="D18" s="29" t="n"/>
      <c r="E18" s="29" t="n"/>
      <c r="F18" s="29" t="n"/>
    </row>
    <row r="19">
      <c r="A19" s="23" t="inlineStr">
        <is>
          <t>Impuestos y fiscal</t>
        </is>
      </c>
      <c r="B19" s="29" t="n"/>
      <c r="C19" s="29" t="n"/>
      <c r="D19" s="29" t="n"/>
      <c r="E19" s="29" t="n"/>
      <c r="F19" s="29" t="n"/>
    </row>
    <row r="20">
      <c r="A20" s="23" t="inlineStr">
        <is>
          <t>Gastos de venta</t>
        </is>
      </c>
      <c r="B20" s="29" t="n"/>
      <c r="C20" s="29" t="n"/>
      <c r="D20" s="29" t="n"/>
      <c r="E20" s="29" t="n"/>
      <c r="F20" s="29" t="n"/>
    </row>
    <row r="21">
      <c r="A21" s="23" t="inlineStr">
        <is>
          <t>Salario administrativo propietarios</t>
        </is>
      </c>
      <c r="B21" s="29" t="n"/>
      <c r="C21" s="29" t="n"/>
      <c r="D21" s="29" t="n"/>
      <c r="E21" s="29" t="n"/>
      <c r="F21" s="29" t="n"/>
    </row>
    <row r="22">
      <c r="A22" s="14" t="inlineStr">
        <is>
          <t>TOTAL EGRESOS</t>
        </is>
      </c>
      <c r="B22" s="30" t="n"/>
      <c r="C22" s="30" t="n"/>
      <c r="D22" s="30" t="n"/>
      <c r="E22" s="30" t="n"/>
      <c r="F22" s="30" t="n"/>
    </row>
    <row r="23">
      <c r="A23" s="23" t="inlineStr"/>
      <c r="B23" s="29" t="n"/>
      <c r="C23" s="29" t="n"/>
      <c r="D23" s="29" t="n"/>
      <c r="E23" s="29" t="n"/>
      <c r="F23" s="29" t="n"/>
    </row>
    <row r="24">
      <c r="A24" s="14" t="inlineStr">
        <is>
          <t>FLUJO NETO DEL MES</t>
        </is>
      </c>
      <c r="B24" s="30" t="n"/>
      <c r="C24" s="30" t="n"/>
      <c r="D24" s="30" t="n"/>
      <c r="E24" s="30" t="n"/>
      <c r="F24" s="30" t="n"/>
    </row>
    <row r="25">
      <c r="A25" s="14" t="inlineStr">
        <is>
          <t>Saldo acumulado</t>
        </is>
      </c>
      <c r="B25" s="30" t="n"/>
      <c r="C25" s="30" t="n"/>
      <c r="D25" s="30" t="n"/>
      <c r="E25" s="30" t="n"/>
      <c r="F25" s="30" t="n"/>
    </row>
    <row r="26">
      <c r="A26" s="23" t="inlineStr"/>
      <c r="B26" s="29" t="n"/>
      <c r="C26" s="29" t="n"/>
      <c r="D26" s="29" t="n"/>
      <c r="E26" s="29" t="n"/>
      <c r="F26" s="29" t="n"/>
    </row>
    <row r="27">
      <c r="A27" s="14" t="inlineStr">
        <is>
          <t>PUNTO DE EQUILIBRIO</t>
        </is>
      </c>
      <c r="B27" s="29" t="n"/>
      <c r="C27" s="29" t="n"/>
      <c r="D27" s="29" t="n"/>
      <c r="E27" s="29" t="n"/>
      <c r="F27" s="29" t="n"/>
    </row>
    <row r="28">
      <c r="A28" s="23" t="inlineStr">
        <is>
          <t>Costos fijos del mes</t>
        </is>
      </c>
      <c r="B28" s="29" t="n"/>
      <c r="C28" s="29" t="n"/>
      <c r="D28" s="29" t="n"/>
      <c r="E28" s="29" t="n"/>
      <c r="F28" s="29" t="n"/>
    </row>
    <row r="29">
      <c r="A29" s="23" t="inlineStr">
        <is>
          <t>% Costo variable sobre ventas</t>
        </is>
      </c>
      <c r="B29" s="29" t="n"/>
      <c r="C29" s="29" t="n"/>
      <c r="D29" s="29" t="n"/>
      <c r="E29" s="29" t="n"/>
      <c r="F29" s="29" t="n"/>
    </row>
    <row r="30">
      <c r="A30" s="23" t="inlineStr">
        <is>
          <t>Punto de equilibrio ($)</t>
        </is>
      </c>
      <c r="B30" s="29" t="n"/>
      <c r="C30" s="29" t="n"/>
      <c r="D30" s="29" t="n"/>
      <c r="E30" s="29" t="n"/>
      <c r="F30" s="29" t="n"/>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H7"/>
  <sheetViews>
    <sheetView workbookViewId="0">
      <selection activeCell="A1" sqref="A1"/>
    </sheetView>
  </sheetViews>
  <sheetFormatPr baseColWidth="8" defaultRowHeight="15"/>
  <cols>
    <col width="12" customWidth="1" min="1" max="1"/>
    <col width="18" customWidth="1" min="2" max="2"/>
    <col width="15" customWidth="1" min="3" max="3"/>
    <col width="18" customWidth="1" min="4" max="4"/>
    <col width="18" customWidth="1" min="5" max="5"/>
    <col width="13" customWidth="1" min="6" max="6"/>
    <col width="15" customWidth="1" min="7" max="7"/>
    <col width="20" customWidth="1" min="8" max="8"/>
  </cols>
  <sheetData>
    <row r="1">
      <c r="A1" s="8" t="inlineStr">
        <is>
          <t>Módulo 3: Conciliación Bancaria Semanal</t>
        </is>
      </c>
    </row>
    <row r="2">
      <c r="A2" s="9" t="inlineStr">
        <is>
          <t>Cruzar depósitos de terminal vs. ventas con tarjeta. Realizar CADA VIERNES.</t>
        </is>
      </c>
    </row>
    <row r="4">
      <c r="A4" s="4" t="inlineStr">
        <is>
          <t>Fecha</t>
        </is>
      </c>
      <c r="B4" s="4" t="inlineStr">
        <is>
          <t>Ventas Tarjeta
(según Corte Caja)</t>
        </is>
      </c>
      <c r="C4" s="4" t="inlineStr">
        <is>
          <t>Comisión
Estimada (3.5%)</t>
        </is>
      </c>
      <c r="D4" s="4" t="inlineStr">
        <is>
          <t>Depósito Esperado
(neto)</t>
        </is>
      </c>
      <c r="E4" s="4" t="inlineStr">
        <is>
          <t>Depósito Real
(según banco)</t>
        </is>
      </c>
      <c r="F4" s="4" t="inlineStr">
        <is>
          <t>Diferencia</t>
        </is>
      </c>
      <c r="G4" s="4" t="inlineStr">
        <is>
          <t>Estado</t>
        </is>
      </c>
      <c r="H4" s="4" t="inlineStr">
        <is>
          <t>Notas</t>
        </is>
      </c>
    </row>
    <row r="5">
      <c r="A5" s="10" t="n">
        <v>46091</v>
      </c>
      <c r="B5" s="22" t="n">
        <v>4200</v>
      </c>
      <c r="C5" s="31">
        <f>B5*0.035</f>
        <v/>
      </c>
      <c r="D5" s="13">
        <f>B5-C5</f>
        <v/>
      </c>
      <c r="E5" s="12" t="n">
        <v>4040</v>
      </c>
      <c r="F5" s="13">
        <f>E5-D5</f>
        <v/>
      </c>
      <c r="G5" s="28">
        <f>IF(ABS(F5)&lt;10,"✓ Conciliado","⚠ Revisar")</f>
        <v/>
      </c>
      <c r="H5" s="6" t="inlineStr"/>
    </row>
    <row r="6">
      <c r="A6" s="10" t="n">
        <v>46092</v>
      </c>
      <c r="B6" s="22" t="n">
        <v>3800</v>
      </c>
      <c r="C6" s="31">
        <f>B6*0.035</f>
        <v/>
      </c>
      <c r="D6" s="13">
        <f>B6-C6</f>
        <v/>
      </c>
      <c r="E6" s="12" t="n">
        <v>3660</v>
      </c>
      <c r="F6" s="13">
        <f>E6-D6</f>
        <v/>
      </c>
      <c r="G6" s="28">
        <f>IF(ABS(F6)&lt;10,"✓ Conciliado","⚠ Revisar")</f>
        <v/>
      </c>
      <c r="H6" s="6" t="inlineStr"/>
    </row>
    <row r="7">
      <c r="A7" s="10" t="n">
        <v>46093</v>
      </c>
      <c r="B7" s="22" t="n">
        <v>5100</v>
      </c>
      <c r="C7" s="31">
        <f>B7*0.035</f>
        <v/>
      </c>
      <c r="D7" s="13">
        <f>B7-C7</f>
        <v/>
      </c>
      <c r="E7" s="12" t="n">
        <v>4900</v>
      </c>
      <c r="F7" s="13">
        <f>E7-D7</f>
        <v/>
      </c>
      <c r="G7" s="28">
        <f>IF(ABS(F7)&lt;10,"✓ Conciliado","⚠ Revisar")</f>
        <v/>
      </c>
      <c r="H7" s="6" t="inlineStr">
        <is>
          <t>Verificar</t>
        </is>
      </c>
    </row>
  </sheetData>
  <pageMargins left="0.75" right="0.75" top="1" bottom="1" header="0.5" footer="0.5"/>
</worksheet>
</file>

<file path=xl/worksheets/sheet10.xml><?xml version="1.0" encoding="utf-8"?>
<worksheet xmlns="http://schemas.openxmlformats.org/spreadsheetml/2006/main">
  <sheetPr>
    <tabColor rgb="00FFC000"/>
    <outlinePr summaryBelow="1" summaryRight="1"/>
    <pageSetUpPr/>
  </sheetPr>
  <dimension ref="A1:J13"/>
  <sheetViews>
    <sheetView workbookViewId="0">
      <selection activeCell="A1" sqref="A1"/>
    </sheetView>
  </sheetViews>
  <sheetFormatPr baseColWidth="8" defaultRowHeight="15"/>
  <cols>
    <col width="16" customWidth="1" min="1" max="1"/>
    <col width="18" customWidth="1" min="2" max="2"/>
    <col width="18" customWidth="1" min="3" max="3"/>
    <col width="24" customWidth="1" min="4" max="4"/>
    <col width="15" customWidth="1" min="5" max="5"/>
    <col width="13" customWidth="1" min="6" max="6"/>
    <col width="13" customWidth="1" min="7" max="7"/>
    <col width="13" customWidth="1" min="8" max="8"/>
    <col width="16" customWidth="1" min="9" max="9"/>
    <col width="13" customWidth="1" min="10" max="10"/>
  </cols>
  <sheetData>
    <row r="1">
      <c r="A1" s="8" t="inlineStr">
        <is>
          <t>Módulo 4: Nómina Quincenal</t>
        </is>
      </c>
    </row>
    <row r="2">
      <c r="A2" s="9" t="inlineStr">
        <is>
          <t>Generar recibo para CADA pago. Folios consecutivos. Martín y Mariana con salario fijo asignado.</t>
        </is>
      </c>
    </row>
    <row r="4">
      <c r="A4" s="4" t="inlineStr">
        <is>
          <t>Folio</t>
        </is>
      </c>
      <c r="B4" s="4" t="inlineStr">
        <is>
          <t>Periodo</t>
        </is>
      </c>
      <c r="C4" s="4" t="inlineStr">
        <is>
          <t>Empleado</t>
        </is>
      </c>
      <c r="D4" s="4" t="inlineStr">
        <is>
          <t>Puesto</t>
        </is>
      </c>
      <c r="E4" s="4" t="inlineStr">
        <is>
          <t>Salario Bruto
Quincenal</t>
        </is>
      </c>
      <c r="F4" s="4" t="inlineStr">
        <is>
          <t>Deducciones</t>
        </is>
      </c>
      <c r="G4" s="4" t="inlineStr">
        <is>
          <t>Neto a Pagar</t>
        </is>
      </c>
      <c r="H4" s="4" t="inlineStr">
        <is>
          <t>Fecha Pago</t>
        </is>
      </c>
      <c r="I4" s="4" t="inlineStr">
        <is>
          <t>Método Pago</t>
        </is>
      </c>
      <c r="J4" s="4" t="inlineStr">
        <is>
          <t>Firmó Recibo</t>
        </is>
      </c>
    </row>
    <row r="5">
      <c r="A5" s="11" t="inlineStr">
        <is>
          <t>NOM-2026-01</t>
        </is>
      </c>
      <c r="B5" s="11" t="inlineStr">
        <is>
          <t>1-15 Mar 2026</t>
        </is>
      </c>
      <c r="C5" s="11" t="inlineStr">
        <is>
          <t>Luis Ángel</t>
        </is>
      </c>
      <c r="D5" s="6" t="inlineStr">
        <is>
          <t>Asistente cocina</t>
        </is>
      </c>
      <c r="E5" s="12" t="n">
        <v>3750</v>
      </c>
      <c r="F5" s="12" t="n">
        <v>0</v>
      </c>
      <c r="G5" s="13">
        <f>E5-F5</f>
        <v/>
      </c>
      <c r="H5" s="27" t="n">
        <v>46096</v>
      </c>
      <c r="I5" s="6" t="inlineStr">
        <is>
          <t>Efectivo</t>
        </is>
      </c>
      <c r="J5" s="6" t="inlineStr">
        <is>
          <t>Sí</t>
        </is>
      </c>
    </row>
    <row r="6">
      <c r="A6" s="11" t="inlineStr">
        <is>
          <t>NOM-2026-02</t>
        </is>
      </c>
      <c r="B6" s="11" t="inlineStr">
        <is>
          <t>1-15 Mar 2026</t>
        </is>
      </c>
      <c r="C6" s="11" t="inlineStr">
        <is>
          <t>Sofía Valadés</t>
        </is>
      </c>
      <c r="D6" s="6" t="inlineStr">
        <is>
          <t>Caja y atención</t>
        </is>
      </c>
      <c r="E6" s="12" t="n">
        <v>3750</v>
      </c>
      <c r="F6" s="12" t="n">
        <v>0</v>
      </c>
      <c r="G6" s="13">
        <f>E6-F6</f>
        <v/>
      </c>
      <c r="H6" s="27" t="n">
        <v>46096</v>
      </c>
      <c r="I6" s="6" t="inlineStr">
        <is>
          <t>Efectivo</t>
        </is>
      </c>
      <c r="J6" s="6" t="inlineStr">
        <is>
          <t>Sí</t>
        </is>
      </c>
    </row>
    <row r="7">
      <c r="A7" s="11" t="inlineStr">
        <is>
          <t>NOM-2026-03</t>
        </is>
      </c>
      <c r="B7" s="11" t="inlineStr">
        <is>
          <t>1-15 Mar 2026</t>
        </is>
      </c>
      <c r="C7" s="11" t="inlineStr">
        <is>
          <t>Martín Valadés</t>
        </is>
      </c>
      <c r="D7" s="6" t="inlineStr">
        <is>
          <t>Director / Pizzero</t>
        </is>
      </c>
      <c r="E7" s="12" t="n">
        <v>5000</v>
      </c>
      <c r="F7" s="12" t="n">
        <v>0</v>
      </c>
      <c r="G7" s="13">
        <f>E7-F7</f>
        <v/>
      </c>
      <c r="H7" s="27" t="n">
        <v>46096</v>
      </c>
      <c r="I7" s="6" t="inlineStr">
        <is>
          <t>Transferencia</t>
        </is>
      </c>
      <c r="J7" s="6" t="inlineStr">
        <is>
          <t>N/A</t>
        </is>
      </c>
    </row>
    <row r="8">
      <c r="A8" s="11" t="inlineStr">
        <is>
          <t>NOM-2026-04</t>
        </is>
      </c>
      <c r="B8" s="11" t="inlineStr">
        <is>
          <t>1-15 Mar 2026</t>
        </is>
      </c>
      <c r="C8" s="11" t="inlineStr">
        <is>
          <t>Mariana Torres</t>
        </is>
      </c>
      <c r="D8" s="6" t="inlineStr">
        <is>
          <t>Administración / Repostera</t>
        </is>
      </c>
      <c r="E8" s="12" t="n">
        <v>5000</v>
      </c>
      <c r="F8" s="12" t="n">
        <v>0</v>
      </c>
      <c r="G8" s="13">
        <f>E8-F8</f>
        <v/>
      </c>
      <c r="H8" s="27" t="n">
        <v>46096</v>
      </c>
      <c r="I8" s="6" t="inlineStr">
        <is>
          <t>Transferencia</t>
        </is>
      </c>
      <c r="J8" s="6" t="inlineStr">
        <is>
          <t>N/A</t>
        </is>
      </c>
    </row>
    <row r="10">
      <c r="A10" s="32" t="inlineStr">
        <is>
          <t>NOTA: Martín y Mariana tienen asignado un salario administrativo de $5,000 quincenales.</t>
        </is>
      </c>
    </row>
    <row r="11">
      <c r="A11" s="24" t="inlineStr">
        <is>
          <t>Cualquier retiro adicional se registra en Gastos como "Retiro propietario", NO como nómina.</t>
        </is>
      </c>
    </row>
    <row r="12">
      <c r="A12" s="9" t="inlineStr">
        <is>
          <t>Nómina quincenal total: Luis Ángel $3,750 + Sofía $3,750 + Martín $5,000 + Mariana $5,000 = $17,500</t>
        </is>
      </c>
    </row>
    <row r="13">
      <c r="A13" s="9" t="inlineStr">
        <is>
          <t>Nómina mensual total: $35,000</t>
        </is>
      </c>
    </row>
  </sheetData>
  <pageMargins left="0.75" right="0.75" top="1" bottom="1" header="0.5" footer="0.5"/>
</worksheet>
</file>

<file path=xl/worksheets/sheet11.xml><?xml version="1.0" encoding="utf-8"?>
<worksheet xmlns="http://schemas.openxmlformats.org/spreadsheetml/2006/main">
  <sheetPr>
    <tabColor rgb="00FF0000"/>
    <outlinePr summaryBelow="1" summaryRight="1"/>
    <pageSetUpPr/>
  </sheetPr>
  <dimension ref="A1:G30"/>
  <sheetViews>
    <sheetView workbookViewId="0">
      <selection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s>
  <sheetData>
    <row r="1">
      <c r="A1" s="8" t="inlineStr">
        <is>
          <t>Módulo 5: Dashboard de Indicadores Clave</t>
        </is>
      </c>
    </row>
    <row r="2">
      <c r="A2" s="9" t="inlineStr">
        <is>
          <t>Revisar MENSUALMENTE. Metas basadas en el diagnóstico y el diseño del sistema.</t>
        </is>
      </c>
    </row>
    <row r="4">
      <c r="A4" s="4" t="inlineStr">
        <is>
          <t>Indicador</t>
        </is>
      </c>
      <c r="B4" s="4" t="inlineStr">
        <is>
          <t>Meta</t>
        </is>
      </c>
      <c r="C4" s="4" t="inlineStr">
        <is>
          <t>Diciembre</t>
        </is>
      </c>
      <c r="D4" s="4" t="inlineStr">
        <is>
          <t>Enero</t>
        </is>
      </c>
      <c r="E4" s="4" t="inlineStr">
        <is>
          <t>Febrero</t>
        </is>
      </c>
      <c r="F4" s="4" t="inlineStr">
        <is>
          <t>Marzo</t>
        </is>
      </c>
      <c r="G4" s="4" t="inlineStr">
        <is>
          <t>Tendencia</t>
        </is>
      </c>
    </row>
    <row r="5">
      <c r="A5" s="11" t="inlineStr">
        <is>
          <t>Ventas totales del mes</t>
        </is>
      </c>
      <c r="B5" s="11" t="inlineStr">
        <is>
          <t>&gt; $90,000</t>
        </is>
      </c>
      <c r="C5" s="11" t="inlineStr"/>
      <c r="D5" s="6" t="inlineStr"/>
      <c r="E5" s="6" t="inlineStr"/>
      <c r="F5" s="6" t="inlineStr"/>
      <c r="G5" s="6" t="inlineStr"/>
    </row>
    <row r="6">
      <c r="A6" s="11" t="inlineStr">
        <is>
          <t>Costo de materias primas</t>
        </is>
      </c>
      <c r="B6" s="11" t="inlineStr">
        <is>
          <t>≤ 35% de ventas</t>
        </is>
      </c>
      <c r="C6" s="11" t="inlineStr"/>
      <c r="D6" s="6" t="inlineStr"/>
      <c r="E6" s="6" t="inlineStr"/>
      <c r="F6" s="6" t="inlineStr"/>
      <c r="G6" s="6" t="inlineStr"/>
    </row>
    <row r="7">
      <c r="A7" s="11" t="inlineStr">
        <is>
          <t>Margen bruto</t>
        </is>
      </c>
      <c r="B7" s="11" t="inlineStr">
        <is>
          <t>≥ 65%</t>
        </is>
      </c>
      <c r="C7" s="11" t="inlineStr"/>
      <c r="D7" s="6" t="inlineStr"/>
      <c r="E7" s="6" t="inlineStr"/>
      <c r="F7" s="6" t="inlineStr"/>
      <c r="G7" s="6" t="inlineStr"/>
    </row>
    <row r="8">
      <c r="A8" s="11" t="inlineStr">
        <is>
          <t>Gastos fijos del mes</t>
        </is>
      </c>
      <c r="B8" s="11" t="inlineStr">
        <is>
          <t>Monitorear</t>
        </is>
      </c>
      <c r="C8" s="11" t="inlineStr"/>
      <c r="D8" s="6" t="inlineStr"/>
      <c r="E8" s="6" t="inlineStr"/>
      <c r="F8" s="6" t="inlineStr"/>
      <c r="G8" s="6" t="inlineStr"/>
    </row>
    <row r="9">
      <c r="A9" s="11" t="inlineStr">
        <is>
          <t>Utilidad neta del mes</t>
        </is>
      </c>
      <c r="B9" s="11" t="inlineStr">
        <is>
          <t>&gt; $15,000</t>
        </is>
      </c>
      <c r="C9" s="11" t="inlineStr"/>
      <c r="D9" s="6" t="inlineStr"/>
      <c r="E9" s="6" t="inlineStr"/>
      <c r="F9" s="6" t="inlineStr"/>
      <c r="G9" s="6" t="inlineStr"/>
    </row>
    <row r="10">
      <c r="A10" s="11" t="inlineStr">
        <is>
          <t>Punto de equilibrio</t>
        </is>
      </c>
      <c r="B10" s="11" t="inlineStr">
        <is>
          <t>≤ $75,200</t>
        </is>
      </c>
      <c r="C10" s="11" t="inlineStr"/>
      <c r="D10" s="6" t="inlineStr"/>
      <c r="E10" s="6" t="inlineStr"/>
      <c r="F10" s="6" t="inlineStr"/>
      <c r="G10" s="6" t="inlineStr"/>
    </row>
    <row r="11">
      <c r="A11" s="11" t="inlineStr">
        <is>
          <t>Ticket promedio</t>
        </is>
      </c>
      <c r="B11" s="11" t="inlineStr">
        <is>
          <t>$250 - $400</t>
        </is>
      </c>
      <c r="C11" s="11" t="inlineStr"/>
      <c r="D11" s="6" t="inlineStr"/>
      <c r="E11" s="6" t="inlineStr"/>
      <c r="F11" s="6" t="inlineStr"/>
      <c r="G11" s="6" t="inlineStr"/>
    </row>
    <row r="12">
      <c r="A12" s="11" t="inlineStr">
        <is>
          <t>% Integridad registro ventas</t>
        </is>
      </c>
      <c r="B12" s="11" t="inlineStr">
        <is>
          <t>100%</t>
        </is>
      </c>
      <c r="C12" s="11" t="inlineStr"/>
      <c r="D12" s="6" t="inlineStr"/>
      <c r="E12" s="6" t="inlineStr"/>
      <c r="F12" s="6" t="inlineStr"/>
      <c r="G12" s="6" t="inlineStr"/>
    </row>
    <row r="13">
      <c r="A13" s="11" t="inlineStr">
        <is>
          <t>% Cortes de caja sin discrepancia</t>
        </is>
      </c>
      <c r="B13" s="11" t="inlineStr">
        <is>
          <t>&gt; 99%</t>
        </is>
      </c>
      <c r="C13" s="11" t="inlineStr"/>
      <c r="D13" s="6" t="inlineStr"/>
      <c r="E13" s="6" t="inlineStr"/>
      <c r="F13" s="6" t="inlineStr"/>
      <c r="G13" s="6" t="inlineStr"/>
    </row>
    <row r="14">
      <c r="A14" s="11" t="inlineStr">
        <is>
          <t>Variación máxima corte caja</t>
        </is>
      </c>
      <c r="B14" s="11" t="inlineStr">
        <is>
          <t>&lt; $50</t>
        </is>
      </c>
      <c r="C14" s="11" t="inlineStr"/>
      <c r="D14" s="6" t="inlineStr"/>
      <c r="E14" s="6" t="inlineStr"/>
      <c r="F14" s="6" t="inlineStr"/>
      <c r="G14" s="6" t="inlineStr"/>
    </row>
    <row r="15">
      <c r="A15" s="11" t="inlineStr">
        <is>
          <t>% Gastos registrados vs. notas</t>
        </is>
      </c>
      <c r="B15" s="11" t="inlineStr">
        <is>
          <t>100%</t>
        </is>
      </c>
      <c r="C15" s="11" t="inlineStr"/>
      <c r="D15" s="6" t="inlineStr"/>
      <c r="E15" s="6" t="inlineStr"/>
      <c r="F15" s="6" t="inlineStr"/>
      <c r="G15" s="6" t="inlineStr"/>
    </row>
    <row r="16">
      <c r="A16" s="11" t="inlineStr">
        <is>
          <t>Rotación inventario (veces/mes)</t>
        </is>
      </c>
      <c r="B16" s="11" t="inlineStr">
        <is>
          <t>8 - 12x</t>
        </is>
      </c>
      <c r="C16" s="11" t="inlineStr"/>
      <c r="D16" s="6" t="inlineStr"/>
      <c r="E16" s="6" t="inlineStr"/>
      <c r="F16" s="6" t="inlineStr"/>
      <c r="G16" s="6" t="inlineStr"/>
    </row>
    <row r="17">
      <c r="A17" s="11" t="inlineStr">
        <is>
          <t>Días sin registro de ventas</t>
        </is>
      </c>
      <c r="B17" s="11" t="inlineStr">
        <is>
          <t>0</t>
        </is>
      </c>
      <c r="C17" s="11" t="inlineStr"/>
      <c r="D17" s="6" t="inlineStr"/>
      <c r="E17" s="6" t="inlineStr"/>
      <c r="F17" s="6" t="inlineStr"/>
      <c r="G17" s="6" t="inlineStr"/>
    </row>
    <row r="18">
      <c r="A18" s="11" t="inlineStr">
        <is>
          <t>Recibos nómina completos</t>
        </is>
      </c>
      <c r="B18" s="11" t="inlineStr">
        <is>
          <t>100%</t>
        </is>
      </c>
      <c r="C18" s="11" t="inlineStr"/>
      <c r="D18" s="6" t="inlineStr"/>
      <c r="E18" s="6" t="inlineStr"/>
      <c r="F18" s="6" t="inlineStr"/>
      <c r="G18" s="6" t="inlineStr"/>
    </row>
    <row r="19">
      <c r="A19" s="11" t="inlineStr">
        <is>
          <t>Fondo de emergencia acumulado</t>
        </is>
      </c>
      <c r="B19" s="11" t="inlineStr">
        <is>
          <t>$37,600</t>
        </is>
      </c>
      <c r="C19" s="11" t="inlineStr"/>
      <c r="D19" s="6" t="inlineStr"/>
      <c r="E19" s="6" t="inlineStr"/>
      <c r="F19" s="6" t="inlineStr"/>
      <c r="G19" s="6" t="inlineStr"/>
    </row>
    <row r="22">
      <c r="A22" s="16" t="inlineStr">
        <is>
          <t>LÍNEA BASE (diagnóstico dic 2025 - feb 2026):</t>
        </is>
      </c>
    </row>
    <row r="23">
      <c r="A23" s="9" t="inlineStr">
        <is>
          <t xml:space="preserve">   • Ventas promedio mensual: $96,000 (rango $87,745 - $107,145)</t>
        </is>
      </c>
    </row>
    <row r="24">
      <c r="A24" s="9" t="inlineStr">
        <is>
          <t xml:space="preserve">   • Integridad registro ventas: 91% (8 días sin registro en 3 meses)</t>
        </is>
      </c>
    </row>
    <row r="25">
      <c r="A25" s="9" t="inlineStr">
        <is>
          <t xml:space="preserve">   • Cortes sin discrepancia: 66.2% (23 de 68 con diferencias)</t>
        </is>
      </c>
    </row>
    <row r="26">
      <c r="A26" s="9" t="inlineStr">
        <is>
          <t xml:space="preserve">   • Gastos registrados: 87.4% (9 notas / $7,430 sin registrar)</t>
        </is>
      </c>
    </row>
    <row r="27">
      <c r="A27" s="9" t="inlineStr">
        <is>
          <t xml:space="preserve">   • Recibos nómina: 75% (9 de 12 encontrados)</t>
        </is>
      </c>
    </row>
    <row r="28">
      <c r="A28" s="9" t="inlineStr">
        <is>
          <t xml:space="preserve">   • Tabla costos: desactualizada 8+ meses</t>
        </is>
      </c>
    </row>
    <row r="29">
      <c r="A29" s="9" t="inlineStr">
        <is>
          <t xml:space="preserve">   • Reportes financieros generados: 0</t>
        </is>
      </c>
    </row>
    <row r="30">
      <c r="A30" s="9" t="inlineStr">
        <is>
          <t xml:space="preserve">   • Fondo de emergencia: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2026-03-12T04:13:13Z</dcterms:created>
  <dcterms:modified xmlns:dcterms="http://purl.org/dc/terms/" xmlns:xsi="http://www.w3.org/2001/XMLSchema-instance" xsi:type="dcterms:W3CDTF">2026-03-12T04:13:13Z</dcterms:modified>
</cp:coreProperties>
</file>